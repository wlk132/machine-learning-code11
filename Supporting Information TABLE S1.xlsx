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001国家重点实验项目\09=专利论文\2机器学习预测氯锆铯闪烁体发光性能\Computational Materials Science\code\"/>
    </mc:Choice>
  </mc:AlternateContent>
  <xr:revisionPtr revIDLastSave="0" documentId="13_ncr:1_{CCA0B031-E901-47F7-99C2-D4E1323314AA}" xr6:coauthVersionLast="47" xr6:coauthVersionMax="47" xr10:uidLastSave="{00000000-0000-0000-0000-000000000000}"/>
  <bookViews>
    <workbookView xWindow="3380" yWindow="338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H204" i="1" l="1"/>
  <c r="H203" i="1"/>
  <c r="H202" i="1"/>
  <c r="H201" i="1"/>
  <c r="H199" i="1"/>
  <c r="H198" i="1"/>
  <c r="H197" i="1"/>
  <c r="H196" i="1"/>
  <c r="H195" i="1"/>
  <c r="H193" i="1"/>
  <c r="H192" i="1"/>
  <c r="H191" i="1"/>
  <c r="H190" i="1"/>
  <c r="H189" i="1"/>
  <c r="H188" i="1"/>
  <c r="H187" i="1"/>
  <c r="H186" i="1"/>
  <c r="H185" i="1"/>
  <c r="H183" i="1"/>
  <c r="H182" i="1"/>
  <c r="H181" i="1"/>
  <c r="H180" i="1"/>
  <c r="H178" i="1"/>
  <c r="H177" i="1"/>
  <c r="H176" i="1"/>
  <c r="H175" i="1"/>
  <c r="H173" i="1"/>
  <c r="H172" i="1"/>
  <c r="H171" i="1"/>
  <c r="H170" i="1"/>
  <c r="H205" i="1"/>
  <c r="H200" i="1"/>
  <c r="H194" i="1"/>
  <c r="H184" i="1"/>
  <c r="H179" i="1"/>
  <c r="H174" i="1"/>
  <c r="H169" i="1"/>
  <c r="H167" i="1"/>
  <c r="H166" i="1"/>
  <c r="H165" i="1"/>
  <c r="H164" i="1"/>
  <c r="H163" i="1"/>
  <c r="H162" i="1"/>
  <c r="H161" i="1"/>
  <c r="H160" i="1"/>
  <c r="H159" i="1"/>
  <c r="H157" i="1"/>
  <c r="H156" i="1"/>
  <c r="H155" i="1"/>
  <c r="H154" i="1"/>
  <c r="H153" i="1"/>
  <c r="H152" i="1"/>
  <c r="H149" i="1"/>
  <c r="H148" i="1"/>
  <c r="H147" i="1"/>
  <c r="H146" i="1"/>
  <c r="H145" i="1"/>
  <c r="H144" i="1"/>
  <c r="H143" i="1"/>
  <c r="H142" i="1"/>
  <c r="H141" i="1"/>
  <c r="H139" i="1"/>
  <c r="H138" i="1"/>
  <c r="H137" i="1"/>
  <c r="H136" i="1"/>
  <c r="H134" i="1"/>
  <c r="H133" i="1"/>
  <c r="H132" i="1"/>
  <c r="H131" i="1"/>
  <c r="H128" i="1"/>
  <c r="H127" i="1"/>
  <c r="H126" i="1"/>
  <c r="H125" i="1"/>
  <c r="H124" i="1"/>
  <c r="H123" i="1"/>
  <c r="H122" i="1"/>
  <c r="H121" i="1"/>
  <c r="H120" i="1"/>
  <c r="H118" i="1"/>
  <c r="H117" i="1"/>
  <c r="H116" i="1"/>
  <c r="H115" i="1"/>
  <c r="H113" i="1"/>
  <c r="H112" i="1"/>
  <c r="H111" i="1"/>
  <c r="H110" i="1"/>
  <c r="H109" i="1"/>
  <c r="H108" i="1"/>
  <c r="H107" i="1"/>
  <c r="H106" i="1"/>
  <c r="H104" i="1"/>
  <c r="H103" i="1"/>
  <c r="H102" i="1"/>
  <c r="H101" i="1"/>
  <c r="H100" i="1"/>
  <c r="H99" i="1"/>
  <c r="H98" i="1"/>
  <c r="H44" i="1"/>
  <c r="H42" i="1"/>
  <c r="H40" i="1"/>
  <c r="H38" i="1"/>
  <c r="H36" i="1"/>
  <c r="H96" i="1"/>
  <c r="H95" i="1"/>
  <c r="H94" i="1"/>
  <c r="H92" i="1"/>
  <c r="H91" i="1"/>
  <c r="H90" i="1"/>
  <c r="H88" i="1"/>
  <c r="H87" i="1"/>
  <c r="H86" i="1"/>
  <c r="H84" i="1"/>
  <c r="H82" i="1"/>
  <c r="H83" i="1"/>
  <c r="H79" i="1"/>
  <c r="H78" i="1"/>
  <c r="H77" i="1"/>
  <c r="H76" i="1"/>
  <c r="H75" i="1"/>
  <c r="H73" i="1"/>
  <c r="H72" i="1"/>
  <c r="H71" i="1"/>
  <c r="H70" i="1"/>
  <c r="H69" i="1"/>
  <c r="H68" i="1"/>
  <c r="H67" i="1"/>
  <c r="H65" i="1"/>
  <c r="H64" i="1"/>
  <c r="H63" i="1"/>
  <c r="H62" i="1"/>
  <c r="H61" i="1"/>
  <c r="H60" i="1"/>
  <c r="H66" i="1"/>
  <c r="H74" i="1"/>
  <c r="H58" i="1"/>
  <c r="H57" i="1"/>
  <c r="H56" i="1"/>
  <c r="H59" i="1"/>
  <c r="H55" i="1"/>
  <c r="H54" i="1"/>
  <c r="H53" i="1"/>
  <c r="H52" i="1"/>
  <c r="H50" i="1"/>
  <c r="H30" i="1"/>
  <c r="H29" i="1"/>
  <c r="H28" i="1"/>
  <c r="H27" i="1"/>
  <c r="H25" i="1"/>
  <c r="H24" i="1"/>
  <c r="H22" i="1"/>
  <c r="H26" i="1"/>
  <c r="H4" i="1"/>
  <c r="H3" i="1"/>
  <c r="H8" i="1"/>
  <c r="H7" i="1"/>
  <c r="H6" i="1"/>
  <c r="H11" i="1"/>
  <c r="H10" i="1"/>
  <c r="H13" i="1"/>
  <c r="H14" i="1"/>
  <c r="H15" i="1"/>
  <c r="H20" i="1"/>
  <c r="H19" i="1"/>
  <c r="H18" i="1"/>
  <c r="H17" i="1"/>
  <c r="H39" i="1"/>
  <c r="H41" i="1"/>
  <c r="H43" i="1"/>
  <c r="H45" i="1"/>
  <c r="H37" i="1"/>
  <c r="H35" i="1"/>
  <c r="H34" i="1"/>
  <c r="H33" i="1"/>
  <c r="H32" i="1"/>
  <c r="H46" i="1"/>
  <c r="H168" i="1"/>
  <c r="H158" i="1"/>
  <c r="H151" i="1"/>
  <c r="H150" i="1"/>
  <c r="H140" i="1"/>
  <c r="H135" i="1"/>
  <c r="H130" i="1"/>
  <c r="H23" i="1"/>
  <c r="H31" i="1"/>
  <c r="H129" i="1"/>
  <c r="H119" i="1"/>
  <c r="H114" i="1"/>
  <c r="H105" i="1"/>
  <c r="H80" i="1"/>
  <c r="H2" i="1"/>
  <c r="H5" i="1"/>
  <c r="H9" i="1"/>
  <c r="H12" i="1"/>
  <c r="H16" i="1"/>
  <c r="H21" i="1"/>
  <c r="H47" i="1"/>
  <c r="H48" i="1"/>
  <c r="H49" i="1"/>
  <c r="H51" i="1"/>
  <c r="H81" i="1"/>
  <c r="H85" i="1"/>
  <c r="H89" i="1"/>
  <c r="H93" i="1"/>
  <c r="H97" i="1"/>
</calcChain>
</file>

<file path=xl/sharedStrings.xml><?xml version="1.0" encoding="utf-8"?>
<sst xmlns="http://schemas.openxmlformats.org/spreadsheetml/2006/main" count="430" uniqueCount="37">
  <si>
    <t>References</t>
    <phoneticPr fontId="1" type="noConversion"/>
  </si>
  <si>
    <t>Cs2ZrCl6:Sb3+</t>
    <phoneticPr fontId="1" type="noConversion"/>
  </si>
  <si>
    <t>Sb</t>
    <phoneticPr fontId="1" type="noConversion"/>
  </si>
  <si>
    <t>Cs2ZrCl6:Te4+</t>
    <phoneticPr fontId="1" type="noConversion"/>
  </si>
  <si>
    <t>Te</t>
    <phoneticPr fontId="1" type="noConversion"/>
  </si>
  <si>
    <t>Cs2ZrCl6:Bi3+</t>
    <phoneticPr fontId="1" type="noConversion"/>
  </si>
  <si>
    <t>Bi</t>
    <phoneticPr fontId="1" type="noConversion"/>
  </si>
  <si>
    <t>Bismuth (Bi3+) and Tellurium (Te4+) Doped Cs2ZrCl6 Lead-free Halide Perovskite Phosphors for White LED</t>
    <phoneticPr fontId="1" type="noConversion"/>
  </si>
  <si>
    <t>Multimodal Luminescent Low-Dimension Cs2ZrCl6:xSb3+ Crystals for White Light-Emitting Diodes and Information Encryption</t>
    <phoneticPr fontId="1" type="noConversion"/>
  </si>
  <si>
    <t>Efficient Near-Infrared Luminescence in Lanthanide-Doped
Vacancy-Ordered Double Perovskite Cs2ZrCl6 Phosphors via Te4+
Sensitization</t>
    <phoneticPr fontId="1" type="noConversion"/>
  </si>
  <si>
    <t>Cs2ZrCl6: Sb3+</t>
    <phoneticPr fontId="1" type="noConversion"/>
  </si>
  <si>
    <t>Cs2ZrCl6: Cr3+</t>
    <phoneticPr fontId="1" type="noConversion"/>
  </si>
  <si>
    <t>Cr</t>
    <phoneticPr fontId="1" type="noConversion"/>
  </si>
  <si>
    <t>Cs2ZrCl6: Sb3+</t>
  </si>
  <si>
    <t>Sb</t>
  </si>
  <si>
    <t xml:space="preserve">Tunable white light emission in antimony doped vacancy-ordered double 
perovskite Cs2ZrCl6 nanocrystals </t>
    <phoneticPr fontId="1" type="noConversion"/>
  </si>
  <si>
    <t>Cs2ZrCl6: Mn2+</t>
    <phoneticPr fontId="1" type="noConversion"/>
  </si>
  <si>
    <t>Mn</t>
    <phoneticPr fontId="1" type="noConversion"/>
  </si>
  <si>
    <t>Mn-doping engineering enabling non-radiative defects suppression of 
Cs2ZrCl6 nanocrystals for high-resolution X-ray imaging</t>
    <phoneticPr fontId="1" type="noConversion"/>
  </si>
  <si>
    <t>Cs2ZrCl6: Mo4+</t>
    <phoneticPr fontId="1" type="noConversion"/>
  </si>
  <si>
    <t>Mo</t>
    <phoneticPr fontId="1" type="noConversion"/>
  </si>
  <si>
    <t>broad-dual-emission-from-cs2zr1-xmoxcl6-enhancing-the-nir-emission-in-lead-free-vacancy-ordered-double-perovskites</t>
    <phoneticPr fontId="1" type="noConversion"/>
  </si>
  <si>
    <t xml:space="preserve">Excitation wavelength-dependent tunable </t>
    <phoneticPr fontId="1" type="noConversion"/>
  </si>
  <si>
    <t>Regulating the Singlet and Triplet Emission of Sb3+ Ions to Achieve Single-Component White-Light Emitter with Record High Color-Rendering Index and Stability</t>
    <phoneticPr fontId="1" type="noConversion"/>
  </si>
  <si>
    <t>Thermochromic Reversible Luminescence in Bi3+-Doped Cs2ZrCl6 Perovskites for Multi-Level Optical Anti-Counterfeiting</t>
    <phoneticPr fontId="1" type="noConversion"/>
  </si>
  <si>
    <t>chemical_structure</t>
  </si>
  <si>
    <t>D</t>
    <phoneticPr fontId="1" type="noConversion"/>
  </si>
  <si>
    <t>D_conc</t>
    <phoneticPr fontId="1" type="noConversion"/>
  </si>
  <si>
    <t>R</t>
    <phoneticPr fontId="1" type="noConversion"/>
  </si>
  <si>
    <t>EN</t>
    <phoneticPr fontId="1" type="noConversion"/>
  </si>
  <si>
    <t>V</t>
    <phoneticPr fontId="1" type="noConversion"/>
  </si>
  <si>
    <t>M</t>
    <phoneticPr fontId="1" type="noConversion"/>
  </si>
  <si>
    <t>t</t>
    <phoneticPr fontId="1" type="noConversion"/>
  </si>
  <si>
    <t>μ</t>
    <phoneticPr fontId="1" type="noConversion"/>
  </si>
  <si>
    <t>EW</t>
    <phoneticPr fontId="1" type="noConversion"/>
  </si>
  <si>
    <t>τ</t>
    <phoneticPr fontId="1" type="noConversion"/>
  </si>
  <si>
    <t>Lead-Free Halide Perovskite Cs2ZrX6 Doped with Cr3+ for Multifunctional X-ray and NIR Imaging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</si>
</sst>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_ "/>
    <numFmt numFmtId="178" formatCode="0.0000_ "/>
    <numFmt numFmtId="179" formatCode="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rgb="FF0F1115"/>
      <name val="Times New Roman"/>
      <family val="1"/>
    </font>
    <font>
      <i/>
      <sz val="11"/>
      <color rgb="FF0F1115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176" fontId="6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176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/>
    <xf numFmtId="176" fontId="7" fillId="3" borderId="1" xfId="0" applyNumberFormat="1" applyFont="1" applyFill="1" applyBorder="1"/>
    <xf numFmtId="0" fontId="6" fillId="3" borderId="1" xfId="0" applyFont="1" applyFill="1" applyBorder="1"/>
    <xf numFmtId="176" fontId="6" fillId="3" borderId="1" xfId="0" applyNumberFormat="1" applyFont="1" applyFill="1" applyBorder="1"/>
    <xf numFmtId="0" fontId="4" fillId="3" borderId="1" xfId="0" applyFont="1" applyFill="1" applyBorder="1"/>
    <xf numFmtId="0" fontId="4" fillId="0" borderId="0" xfId="0" applyFont="1"/>
    <xf numFmtId="0" fontId="6" fillId="3" borderId="0" xfId="0" applyFont="1" applyFill="1"/>
    <xf numFmtId="176" fontId="6" fillId="3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2" borderId="0" xfId="0" applyFill="1" applyAlignment="1">
      <alignment wrapText="1"/>
    </xf>
    <xf numFmtId="0" fontId="10" fillId="0" borderId="1" xfId="0" applyFont="1" applyBorder="1" applyAlignment="1">
      <alignment horizontal="center" vertical="top"/>
    </xf>
    <xf numFmtId="177" fontId="10" fillId="0" borderId="1" xfId="0" applyNumberFormat="1" applyFont="1" applyBorder="1" applyAlignment="1">
      <alignment horizontal="center" vertical="top"/>
    </xf>
    <xf numFmtId="178" fontId="10" fillId="0" borderId="1" xfId="0" applyNumberFormat="1" applyFont="1" applyBorder="1" applyAlignment="1">
      <alignment horizontal="center" vertical="top"/>
    </xf>
    <xf numFmtId="179" fontId="10" fillId="0" borderId="1" xfId="0" applyNumberFormat="1" applyFont="1" applyBorder="1" applyAlignment="1">
      <alignment horizontal="center" vertical="top"/>
    </xf>
    <xf numFmtId="176" fontId="10" fillId="0" borderId="1" xfId="0" applyNumberFormat="1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M205"/>
  <sheetViews>
    <sheetView tabSelected="1" zoomScaleNormal="100" workbookViewId="0">
      <pane ySplit="1" topLeftCell="A2" activePane="bottomLeft" state="frozen"/>
      <selection pane="bottomLeft" activeCell="J1" sqref="J1"/>
    </sheetView>
  </sheetViews>
  <sheetFormatPr defaultRowHeight="14" x14ac:dyDescent="0.3"/>
  <cols>
    <col min="1" max="1" width="26" style="15" customWidth="1"/>
    <col min="2" max="2" width="21.08203125" style="15" customWidth="1"/>
    <col min="3" max="3" width="9.5" style="15" customWidth="1"/>
    <col min="4" max="4" width="9" style="15" customWidth="1"/>
    <col min="5" max="5" width="12.1640625" style="15" customWidth="1"/>
    <col min="6" max="6" width="9" style="15" customWidth="1"/>
    <col min="7" max="7" width="10.9140625" style="15" customWidth="1"/>
    <col min="8" max="9" width="19.58203125" style="15" customWidth="1"/>
    <col min="10" max="10" width="8.75" style="16" customWidth="1"/>
    <col min="11" max="11" width="8.6640625" style="17"/>
    <col min="12" max="12" width="14.08203125" style="20" customWidth="1"/>
  </cols>
  <sheetData>
    <row r="1" spans="1:12" s="1" customFormat="1" ht="26" customHeight="1" x14ac:dyDescent="0.3">
      <c r="A1" s="27" t="s">
        <v>25</v>
      </c>
      <c r="B1" s="27" t="s">
        <v>26</v>
      </c>
      <c r="C1" s="28" t="s">
        <v>27</v>
      </c>
      <c r="D1" s="27" t="s">
        <v>28</v>
      </c>
      <c r="E1" s="27" t="s">
        <v>29</v>
      </c>
      <c r="F1" s="27" t="s">
        <v>30</v>
      </c>
      <c r="G1" s="27" t="s">
        <v>31</v>
      </c>
      <c r="H1" s="29" t="s">
        <v>32</v>
      </c>
      <c r="I1" s="29" t="s">
        <v>33</v>
      </c>
      <c r="J1" s="30" t="s">
        <v>34</v>
      </c>
      <c r="K1" s="31" t="s">
        <v>35</v>
      </c>
      <c r="L1" s="19" t="s">
        <v>0</v>
      </c>
    </row>
    <row r="2" spans="1:12" s="1" customFormat="1" x14ac:dyDescent="0.3">
      <c r="A2" s="21" t="s">
        <v>1</v>
      </c>
      <c r="B2" s="21" t="s">
        <v>2</v>
      </c>
      <c r="C2" s="21">
        <v>0.01</v>
      </c>
      <c r="D2" s="21">
        <v>0.76</v>
      </c>
      <c r="E2" s="21">
        <v>2.0499999999999998</v>
      </c>
      <c r="F2" s="21">
        <v>3</v>
      </c>
      <c r="G2" s="21">
        <v>121.76</v>
      </c>
      <c r="H2" s="21">
        <f t="shared" ref="H2:H17" si="0">(1.67+1.81)/(1.414*(1.81+(1-C2)*0.72+D2*C2))</f>
        <v>0.9726143112482063</v>
      </c>
      <c r="I2" s="5">
        <f t="shared" ref="I2:I64" si="1">((1-C2)*0.72+D2*C2)/1.81</f>
        <v>0.39801104972375689</v>
      </c>
      <c r="J2" s="6">
        <v>620</v>
      </c>
      <c r="K2" s="7">
        <v>7.2</v>
      </c>
      <c r="L2" s="35" t="s">
        <v>8</v>
      </c>
    </row>
    <row r="3" spans="1:12" s="4" customFormat="1" x14ac:dyDescent="0.3">
      <c r="A3" s="5" t="s">
        <v>1</v>
      </c>
      <c r="B3" s="5" t="s">
        <v>2</v>
      </c>
      <c r="C3" s="5">
        <v>0.02</v>
      </c>
      <c r="D3" s="5">
        <v>0.76</v>
      </c>
      <c r="E3" s="5">
        <v>2.0499999999999998</v>
      </c>
      <c r="F3" s="5">
        <v>3</v>
      </c>
      <c r="G3" s="5">
        <v>121.76</v>
      </c>
      <c r="H3" s="5">
        <f t="shared" ref="H3:H4" si="2">(1.67+1.81)/(1.414*(1.81+(1-C3)*0.72+D3*C3))</f>
        <v>0.97246058684307768</v>
      </c>
      <c r="I3" s="5">
        <f t="shared" si="1"/>
        <v>0.39823204419889502</v>
      </c>
      <c r="J3" s="8"/>
      <c r="K3" s="9"/>
      <c r="L3" s="35"/>
    </row>
    <row r="4" spans="1:12" s="4" customFormat="1" x14ac:dyDescent="0.3">
      <c r="A4" s="5" t="s">
        <v>1</v>
      </c>
      <c r="B4" s="5" t="s">
        <v>2</v>
      </c>
      <c r="C4" s="5">
        <v>0.04</v>
      </c>
      <c r="D4" s="5">
        <v>0.76</v>
      </c>
      <c r="E4" s="5">
        <v>2.0499999999999998</v>
      </c>
      <c r="F4" s="5">
        <v>3</v>
      </c>
      <c r="G4" s="5">
        <v>121.76</v>
      </c>
      <c r="H4" s="5">
        <f t="shared" si="2"/>
        <v>0.97215328376617993</v>
      </c>
      <c r="I4" s="5">
        <f t="shared" si="1"/>
        <v>0.39867403314917121</v>
      </c>
      <c r="J4" s="8"/>
      <c r="K4" s="9"/>
      <c r="L4" s="35"/>
    </row>
    <row r="5" spans="1:12" s="1" customFormat="1" x14ac:dyDescent="0.3">
      <c r="A5" s="21" t="s">
        <v>1</v>
      </c>
      <c r="B5" s="21" t="s">
        <v>2</v>
      </c>
      <c r="C5" s="21">
        <v>0.05</v>
      </c>
      <c r="D5" s="21">
        <v>0.76</v>
      </c>
      <c r="E5" s="21">
        <v>2.0499999999999998</v>
      </c>
      <c r="F5" s="21">
        <v>3</v>
      </c>
      <c r="G5" s="21">
        <v>121.76</v>
      </c>
      <c r="H5" s="21">
        <f t="shared" si="0"/>
        <v>0.97199970504836553</v>
      </c>
      <c r="I5" s="5">
        <f t="shared" si="1"/>
        <v>0.39889502762430934</v>
      </c>
      <c r="J5" s="6">
        <v>625</v>
      </c>
      <c r="K5" s="7">
        <v>7.1</v>
      </c>
      <c r="L5" s="35"/>
    </row>
    <row r="6" spans="1:12" s="4" customFormat="1" x14ac:dyDescent="0.3">
      <c r="A6" s="5" t="s">
        <v>1</v>
      </c>
      <c r="B6" s="5" t="s">
        <v>2</v>
      </c>
      <c r="C6" s="5">
        <v>0.06</v>
      </c>
      <c r="D6" s="5">
        <v>0.76</v>
      </c>
      <c r="E6" s="5">
        <v>2.0499999999999998</v>
      </c>
      <c r="F6" s="5">
        <v>3</v>
      </c>
      <c r="G6" s="5">
        <v>121.76</v>
      </c>
      <c r="H6" s="5">
        <f t="shared" si="0"/>
        <v>0.97184617484696778</v>
      </c>
      <c r="I6" s="5">
        <f t="shared" si="1"/>
        <v>0.39911602209944746</v>
      </c>
      <c r="J6" s="8"/>
      <c r="K6" s="9"/>
      <c r="L6" s="35"/>
    </row>
    <row r="7" spans="1:12" s="4" customFormat="1" x14ac:dyDescent="0.3">
      <c r="A7" s="5" t="s">
        <v>1</v>
      </c>
      <c r="B7" s="5" t="s">
        <v>2</v>
      </c>
      <c r="C7" s="5">
        <v>0.08</v>
      </c>
      <c r="D7" s="5">
        <v>0.76</v>
      </c>
      <c r="E7" s="5">
        <v>2.0499999999999998</v>
      </c>
      <c r="F7" s="5">
        <v>3</v>
      </c>
      <c r="G7" s="5">
        <v>121.76</v>
      </c>
      <c r="H7" s="5">
        <f t="shared" si="0"/>
        <v>0.9715392599014927</v>
      </c>
      <c r="I7" s="5">
        <f t="shared" si="1"/>
        <v>0.39955801104972372</v>
      </c>
      <c r="J7" s="8"/>
      <c r="K7" s="9"/>
      <c r="L7" s="35"/>
    </row>
    <row r="8" spans="1:12" s="4" customFormat="1" x14ac:dyDescent="0.3">
      <c r="A8" s="5" t="s">
        <v>1</v>
      </c>
      <c r="B8" s="5" t="s">
        <v>2</v>
      </c>
      <c r="C8" s="5">
        <v>0.09</v>
      </c>
      <c r="D8" s="5">
        <v>0.76</v>
      </c>
      <c r="E8" s="5">
        <v>2.0499999999999998</v>
      </c>
      <c r="F8" s="5">
        <v>3</v>
      </c>
      <c r="G8" s="5">
        <v>121.76</v>
      </c>
      <c r="H8" s="5">
        <f t="shared" si="0"/>
        <v>0.971385875111486</v>
      </c>
      <c r="I8" s="5">
        <f t="shared" si="1"/>
        <v>0.3997790055248619</v>
      </c>
      <c r="J8" s="8"/>
      <c r="K8" s="9"/>
      <c r="L8" s="35"/>
    </row>
    <row r="9" spans="1:12" s="1" customFormat="1" x14ac:dyDescent="0.3">
      <c r="A9" s="21" t="s">
        <v>1</v>
      </c>
      <c r="B9" s="21" t="s">
        <v>2</v>
      </c>
      <c r="C9" s="21">
        <v>0.1</v>
      </c>
      <c r="D9" s="21">
        <v>0.76</v>
      </c>
      <c r="E9" s="21">
        <v>2.0499999999999998</v>
      </c>
      <c r="F9" s="21">
        <v>3</v>
      </c>
      <c r="G9" s="21">
        <v>121.76</v>
      </c>
      <c r="H9" s="21">
        <f t="shared" si="0"/>
        <v>0.97123253874603832</v>
      </c>
      <c r="I9" s="5">
        <f t="shared" si="1"/>
        <v>0.39999999999999997</v>
      </c>
      <c r="J9" s="6">
        <v>625</v>
      </c>
      <c r="K9" s="7">
        <v>7</v>
      </c>
      <c r="L9" s="35"/>
    </row>
    <row r="10" spans="1:12" s="4" customFormat="1" x14ac:dyDescent="0.3">
      <c r="A10" s="5" t="s">
        <v>1</v>
      </c>
      <c r="B10" s="5" t="s">
        <v>2</v>
      </c>
      <c r="C10" s="5">
        <v>0.12</v>
      </c>
      <c r="D10" s="5">
        <v>0.76</v>
      </c>
      <c r="E10" s="5">
        <v>2.0499999999999998</v>
      </c>
      <c r="F10" s="5">
        <v>3</v>
      </c>
      <c r="G10" s="5">
        <v>121.76</v>
      </c>
      <c r="H10" s="5">
        <f t="shared" ref="H10:H11" si="3">(1.67+1.81)/(1.414*(1.81+(1-C10)*0.72+D10*C10))</f>
        <v>0.97092601119712041</v>
      </c>
      <c r="I10" s="5">
        <f t="shared" si="1"/>
        <v>0.40044198895027616</v>
      </c>
      <c r="J10" s="8"/>
      <c r="K10" s="9"/>
      <c r="L10" s="35"/>
    </row>
    <row r="11" spans="1:12" s="4" customFormat="1" x14ac:dyDescent="0.3">
      <c r="A11" s="5" t="s">
        <v>1</v>
      </c>
      <c r="B11" s="5" t="s">
        <v>2</v>
      </c>
      <c r="C11" s="5">
        <v>0.14000000000000001</v>
      </c>
      <c r="D11" s="5">
        <v>0.76</v>
      </c>
      <c r="E11" s="5">
        <v>2.0499999999999998</v>
      </c>
      <c r="F11" s="5">
        <v>3</v>
      </c>
      <c r="G11" s="5">
        <v>121.76</v>
      </c>
      <c r="H11" s="5">
        <f t="shared" si="3"/>
        <v>0.97061967707148666</v>
      </c>
      <c r="I11" s="5">
        <f t="shared" si="1"/>
        <v>0.40088397790055247</v>
      </c>
      <c r="J11" s="8"/>
      <c r="K11" s="9"/>
      <c r="L11" s="35"/>
    </row>
    <row r="12" spans="1:12" s="1" customFormat="1" x14ac:dyDescent="0.3">
      <c r="A12" s="21" t="s">
        <v>1</v>
      </c>
      <c r="B12" s="21" t="s">
        <v>2</v>
      </c>
      <c r="C12" s="21">
        <v>0.15</v>
      </c>
      <c r="D12" s="21">
        <v>0.76</v>
      </c>
      <c r="E12" s="21">
        <v>2.0499999999999998</v>
      </c>
      <c r="F12" s="21">
        <v>3</v>
      </c>
      <c r="G12" s="21">
        <v>121.76</v>
      </c>
      <c r="H12" s="21">
        <f t="shared" si="0"/>
        <v>0.97046658248519768</v>
      </c>
      <c r="I12" s="5">
        <f t="shared" si="1"/>
        <v>0.40110497237569059</v>
      </c>
      <c r="J12" s="6">
        <v>625</v>
      </c>
      <c r="K12" s="7">
        <v>7.1</v>
      </c>
      <c r="L12" s="35"/>
    </row>
    <row r="13" spans="1:12" s="4" customFormat="1" x14ac:dyDescent="0.3">
      <c r="A13" s="5" t="s">
        <v>1</v>
      </c>
      <c r="B13" s="5" t="s">
        <v>2</v>
      </c>
      <c r="C13" s="5">
        <v>0.16</v>
      </c>
      <c r="D13" s="5">
        <v>0.76</v>
      </c>
      <c r="E13" s="5">
        <v>2.0499999999999998</v>
      </c>
      <c r="F13" s="5">
        <v>3</v>
      </c>
      <c r="G13" s="5">
        <v>121.76</v>
      </c>
      <c r="H13" s="5">
        <f t="shared" si="0"/>
        <v>0.97031353618611471</v>
      </c>
      <c r="I13" s="5">
        <f t="shared" si="1"/>
        <v>0.40132596685082872</v>
      </c>
      <c r="J13" s="8"/>
      <c r="K13" s="9"/>
      <c r="L13" s="35"/>
    </row>
    <row r="14" spans="1:12" s="4" customFormat="1" x14ac:dyDescent="0.3">
      <c r="A14" s="5" t="s">
        <v>1</v>
      </c>
      <c r="B14" s="5" t="s">
        <v>2</v>
      </c>
      <c r="C14" s="5">
        <v>0.18</v>
      </c>
      <c r="D14" s="5">
        <v>0.76</v>
      </c>
      <c r="E14" s="5">
        <v>2.0499999999999998</v>
      </c>
      <c r="F14" s="5">
        <v>3</v>
      </c>
      <c r="G14" s="5">
        <v>121.76</v>
      </c>
      <c r="H14" s="5">
        <f t="shared" ref="H14" si="4">(1.67+1.81)/(1.414*(1.81+(1-C14)*0.72+D14*C14))</f>
        <v>0.97000758835821421</v>
      </c>
      <c r="I14" s="5">
        <f t="shared" si="1"/>
        <v>0.40176795580110503</v>
      </c>
      <c r="J14" s="8"/>
      <c r="K14" s="9"/>
      <c r="L14" s="35"/>
    </row>
    <row r="15" spans="1:12" s="4" customFormat="1" x14ac:dyDescent="0.3">
      <c r="A15" s="5" t="s">
        <v>1</v>
      </c>
      <c r="B15" s="5" t="s">
        <v>2</v>
      </c>
      <c r="C15" s="5">
        <v>0.19</v>
      </c>
      <c r="D15" s="5">
        <v>0.76</v>
      </c>
      <c r="E15" s="5">
        <v>2.0499999999999998</v>
      </c>
      <c r="F15" s="5">
        <v>3</v>
      </c>
      <c r="G15" s="5">
        <v>121.76</v>
      </c>
      <c r="H15" s="5">
        <f t="shared" ref="H15" si="5">(1.67+1.81)/(1.414*(1.81+(1-C15)*0.72+D15*C15))</f>
        <v>0.96985468678375664</v>
      </c>
      <c r="I15" s="5">
        <f t="shared" si="1"/>
        <v>0.4019889502762431</v>
      </c>
      <c r="J15" s="8"/>
      <c r="K15" s="9"/>
      <c r="L15" s="35"/>
    </row>
    <row r="16" spans="1:12" s="1" customFormat="1" x14ac:dyDescent="0.3">
      <c r="A16" s="21" t="s">
        <v>1</v>
      </c>
      <c r="B16" s="21" t="s">
        <v>2</v>
      </c>
      <c r="C16" s="21">
        <v>0.2</v>
      </c>
      <c r="D16" s="21">
        <v>0.76</v>
      </c>
      <c r="E16" s="21">
        <v>2.0499999999999998</v>
      </c>
      <c r="F16" s="21">
        <v>3</v>
      </c>
      <c r="G16" s="21">
        <v>121.76</v>
      </c>
      <c r="H16" s="21">
        <f t="shared" si="0"/>
        <v>0.96970183340522498</v>
      </c>
      <c r="I16" s="5">
        <f t="shared" si="1"/>
        <v>0.40220994475138117</v>
      </c>
      <c r="J16" s="6">
        <v>625</v>
      </c>
      <c r="K16" s="7">
        <v>6.9</v>
      </c>
      <c r="L16" s="35"/>
    </row>
    <row r="17" spans="1:12" s="4" customFormat="1" x14ac:dyDescent="0.3">
      <c r="A17" s="5" t="s">
        <v>1</v>
      </c>
      <c r="B17" s="5" t="s">
        <v>2</v>
      </c>
      <c r="C17" s="5">
        <v>0.22</v>
      </c>
      <c r="D17" s="5">
        <v>0.76</v>
      </c>
      <c r="E17" s="5">
        <v>2.0499999999999998</v>
      </c>
      <c r="F17" s="5">
        <v>3</v>
      </c>
      <c r="G17" s="5">
        <v>121.76</v>
      </c>
      <c r="H17" s="5">
        <f t="shared" si="0"/>
        <v>0.96939627114481686</v>
      </c>
      <c r="I17" s="5">
        <f t="shared" si="1"/>
        <v>0.40265193370165747</v>
      </c>
      <c r="J17" s="8"/>
      <c r="K17" s="9"/>
      <c r="L17" s="35"/>
    </row>
    <row r="18" spans="1:12" s="4" customFormat="1" x14ac:dyDescent="0.3">
      <c r="A18" s="5" t="s">
        <v>1</v>
      </c>
      <c r="B18" s="5" t="s">
        <v>2</v>
      </c>
      <c r="C18" s="5">
        <v>0.24</v>
      </c>
      <c r="D18" s="5">
        <v>0.76</v>
      </c>
      <c r="E18" s="5">
        <v>2.0499999999999998</v>
      </c>
      <c r="F18" s="5">
        <v>3</v>
      </c>
      <c r="G18" s="5">
        <v>121.76</v>
      </c>
      <c r="H18" s="5">
        <f t="shared" ref="H18:H19" si="6">(1.67+1.81)/(1.414*(1.81+(1-C18)*0.72+D18*C18))</f>
        <v>0.9690909013948894</v>
      </c>
      <c r="I18" s="5">
        <f t="shared" si="1"/>
        <v>0.40309392265193372</v>
      </c>
      <c r="J18" s="8"/>
      <c r="K18" s="9"/>
      <c r="L18" s="35"/>
    </row>
    <row r="19" spans="1:12" s="4" customFormat="1" x14ac:dyDescent="0.3">
      <c r="A19" s="5" t="s">
        <v>1</v>
      </c>
      <c r="B19" s="5" t="s">
        <v>2</v>
      </c>
      <c r="C19" s="5">
        <v>0.26</v>
      </c>
      <c r="D19" s="5">
        <v>0.76</v>
      </c>
      <c r="E19" s="5">
        <v>2.0499999999999998</v>
      </c>
      <c r="F19" s="5">
        <v>3</v>
      </c>
      <c r="G19" s="5">
        <v>121.76</v>
      </c>
      <c r="H19" s="5">
        <f t="shared" si="6"/>
        <v>0.96878572397357166</v>
      </c>
      <c r="I19" s="5">
        <f t="shared" si="1"/>
        <v>0.40353591160220992</v>
      </c>
      <c r="J19" s="8"/>
      <c r="K19" s="9"/>
      <c r="L19" s="35"/>
    </row>
    <row r="20" spans="1:12" s="4" customFormat="1" x14ac:dyDescent="0.3">
      <c r="A20" s="5" t="s">
        <v>1</v>
      </c>
      <c r="B20" s="5" t="s">
        <v>2</v>
      </c>
      <c r="C20" s="5">
        <v>0.28000000000000003</v>
      </c>
      <c r="D20" s="5">
        <v>0.76</v>
      </c>
      <c r="E20" s="5">
        <v>2.0499999999999998</v>
      </c>
      <c r="F20" s="5">
        <v>3</v>
      </c>
      <c r="G20" s="5">
        <v>121.76</v>
      </c>
      <c r="H20" s="5">
        <f t="shared" ref="H20" si="7">(1.67+1.81)/(1.414*(1.81+(1-C20)*0.72+D20*C20))</f>
        <v>0.96848073869922124</v>
      </c>
      <c r="I20" s="5">
        <f t="shared" si="1"/>
        <v>0.40397790055248617</v>
      </c>
      <c r="J20" s="8"/>
      <c r="K20" s="9"/>
      <c r="L20" s="35"/>
    </row>
    <row r="21" spans="1:12" s="1" customFormat="1" x14ac:dyDescent="0.3">
      <c r="A21" s="21" t="s">
        <v>1</v>
      </c>
      <c r="B21" s="21" t="s">
        <v>2</v>
      </c>
      <c r="C21" s="21">
        <v>0.3</v>
      </c>
      <c r="D21" s="21">
        <v>0.76</v>
      </c>
      <c r="E21" s="21">
        <v>2.0499999999999998</v>
      </c>
      <c r="F21" s="21">
        <v>3</v>
      </c>
      <c r="G21" s="21">
        <v>121.76</v>
      </c>
      <c r="H21" s="21">
        <f t="shared" ref="H21:H51" si="8">(1.67+1.81)/(1.414*(1.81+(1-C21)*0.72+D21*C21))</f>
        <v>0.9681759453904254</v>
      </c>
      <c r="I21" s="5">
        <f t="shared" si="1"/>
        <v>0.40441988950276242</v>
      </c>
      <c r="J21" s="6">
        <v>625</v>
      </c>
      <c r="K21" s="7">
        <v>6.8</v>
      </c>
      <c r="L21" s="35"/>
    </row>
    <row r="22" spans="1:12" s="4" customFormat="1" x14ac:dyDescent="0.3">
      <c r="A22" s="22" t="s">
        <v>13</v>
      </c>
      <c r="B22" s="22" t="s">
        <v>14</v>
      </c>
      <c r="C22" s="22">
        <v>0.01</v>
      </c>
      <c r="D22" s="5">
        <v>0.76</v>
      </c>
      <c r="E22" s="5">
        <v>2.0499999999999998</v>
      </c>
      <c r="F22" s="5">
        <v>3</v>
      </c>
      <c r="G22" s="5">
        <v>121.76</v>
      </c>
      <c r="H22" s="22">
        <f t="shared" si="8"/>
        <v>0.9726143112482063</v>
      </c>
      <c r="I22" s="5">
        <f t="shared" si="1"/>
        <v>0.39801104972375689</v>
      </c>
      <c r="J22" s="10"/>
      <c r="K22" s="11"/>
      <c r="L22" s="32" t="s">
        <v>15</v>
      </c>
    </row>
    <row r="23" spans="1:12" s="1" customFormat="1" ht="14" customHeight="1" x14ac:dyDescent="0.3">
      <c r="A23" s="23" t="s">
        <v>13</v>
      </c>
      <c r="B23" s="23" t="s">
        <v>14</v>
      </c>
      <c r="C23" s="23">
        <v>0.02</v>
      </c>
      <c r="D23" s="21">
        <v>0.76</v>
      </c>
      <c r="E23" s="21">
        <v>2.0499999999999998</v>
      </c>
      <c r="F23" s="21">
        <v>3</v>
      </c>
      <c r="G23" s="21">
        <v>121.76</v>
      </c>
      <c r="H23" s="23">
        <f t="shared" si="8"/>
        <v>0.97246058684307768</v>
      </c>
      <c r="I23" s="5">
        <f t="shared" si="1"/>
        <v>0.39823204419889502</v>
      </c>
      <c r="J23" s="12">
        <v>593</v>
      </c>
      <c r="K23" s="13">
        <v>3.06</v>
      </c>
      <c r="L23" s="33"/>
    </row>
    <row r="24" spans="1:12" s="4" customFormat="1" x14ac:dyDescent="0.3">
      <c r="A24" s="22" t="s">
        <v>13</v>
      </c>
      <c r="B24" s="22" t="s">
        <v>14</v>
      </c>
      <c r="C24" s="22">
        <v>0.03</v>
      </c>
      <c r="D24" s="5">
        <v>0.76</v>
      </c>
      <c r="E24" s="5">
        <v>2.0499999999999998</v>
      </c>
      <c r="F24" s="5">
        <v>3</v>
      </c>
      <c r="G24" s="5">
        <v>121.76</v>
      </c>
      <c r="H24" s="22">
        <f t="shared" si="8"/>
        <v>0.97230691102341227</v>
      </c>
      <c r="I24" s="5">
        <f t="shared" si="1"/>
        <v>0.39845303867403309</v>
      </c>
      <c r="J24" s="10"/>
      <c r="K24" s="11"/>
      <c r="L24" s="33"/>
    </row>
    <row r="25" spans="1:12" s="4" customFormat="1" x14ac:dyDescent="0.3">
      <c r="A25" s="22" t="s">
        <v>13</v>
      </c>
      <c r="B25" s="22" t="s">
        <v>14</v>
      </c>
      <c r="C25" s="22">
        <v>0.04</v>
      </c>
      <c r="D25" s="5">
        <v>0.76</v>
      </c>
      <c r="E25" s="5">
        <v>2.0499999999999998</v>
      </c>
      <c r="F25" s="5">
        <v>3</v>
      </c>
      <c r="G25" s="5">
        <v>121.76</v>
      </c>
      <c r="H25" s="22">
        <f t="shared" si="8"/>
        <v>0.97215328376617993</v>
      </c>
      <c r="I25" s="5">
        <f t="shared" si="1"/>
        <v>0.39867403314917121</v>
      </c>
      <c r="J25" s="10"/>
      <c r="K25" s="11"/>
      <c r="L25" s="33"/>
    </row>
    <row r="26" spans="1:12" s="1" customFormat="1" x14ac:dyDescent="0.3">
      <c r="A26" s="23" t="s">
        <v>13</v>
      </c>
      <c r="B26" s="23" t="s">
        <v>14</v>
      </c>
      <c r="C26" s="23">
        <v>0.05</v>
      </c>
      <c r="D26" s="21">
        <v>0.76</v>
      </c>
      <c r="E26" s="21">
        <v>2.0499999999999998</v>
      </c>
      <c r="F26" s="21">
        <v>3</v>
      </c>
      <c r="G26" s="21">
        <v>121.76</v>
      </c>
      <c r="H26" s="23">
        <f t="shared" si="8"/>
        <v>0.97199970504836553</v>
      </c>
      <c r="I26" s="5">
        <f t="shared" si="1"/>
        <v>0.39889502762430934</v>
      </c>
      <c r="J26" s="12">
        <v>592</v>
      </c>
      <c r="K26" s="13">
        <v>3.85</v>
      </c>
      <c r="L26" s="33"/>
    </row>
    <row r="27" spans="1:12" s="1" customFormat="1" x14ac:dyDescent="0.3">
      <c r="A27" s="22" t="s">
        <v>13</v>
      </c>
      <c r="B27" s="22" t="s">
        <v>14</v>
      </c>
      <c r="C27" s="22">
        <v>0.06</v>
      </c>
      <c r="D27" s="5">
        <v>0.76</v>
      </c>
      <c r="E27" s="5">
        <v>2.0499999999999998</v>
      </c>
      <c r="F27" s="5">
        <v>3</v>
      </c>
      <c r="G27" s="5">
        <v>121.76</v>
      </c>
      <c r="H27" s="22">
        <f t="shared" si="8"/>
        <v>0.97184617484696778</v>
      </c>
      <c r="I27" s="5">
        <f t="shared" si="1"/>
        <v>0.39911602209944746</v>
      </c>
      <c r="J27" s="12"/>
      <c r="K27" s="13"/>
      <c r="L27" s="33"/>
    </row>
    <row r="28" spans="1:12" s="1" customFormat="1" x14ac:dyDescent="0.3">
      <c r="A28" s="22" t="s">
        <v>13</v>
      </c>
      <c r="B28" s="22" t="s">
        <v>14</v>
      </c>
      <c r="C28" s="22">
        <v>7.0000000000000007E-2</v>
      </c>
      <c r="D28" s="5">
        <v>0.76</v>
      </c>
      <c r="E28" s="5">
        <v>2.0499999999999998</v>
      </c>
      <c r="F28" s="5">
        <v>3</v>
      </c>
      <c r="G28" s="5">
        <v>121.76</v>
      </c>
      <c r="H28" s="22">
        <f t="shared" si="8"/>
        <v>0.97169269313900086</v>
      </c>
      <c r="I28" s="5">
        <f t="shared" si="1"/>
        <v>0.39933701657458565</v>
      </c>
      <c r="J28" s="12"/>
      <c r="K28" s="13"/>
      <c r="L28" s="33"/>
    </row>
    <row r="29" spans="1:12" s="1" customFormat="1" x14ac:dyDescent="0.3">
      <c r="A29" s="22" t="s">
        <v>13</v>
      </c>
      <c r="B29" s="22" t="s">
        <v>14</v>
      </c>
      <c r="C29" s="22">
        <v>0.08</v>
      </c>
      <c r="D29" s="5">
        <v>0.76</v>
      </c>
      <c r="E29" s="5">
        <v>2.0499999999999998</v>
      </c>
      <c r="F29" s="5">
        <v>3</v>
      </c>
      <c r="G29" s="5">
        <v>121.76</v>
      </c>
      <c r="H29" s="22">
        <f t="shared" si="8"/>
        <v>0.9715392599014927</v>
      </c>
      <c r="I29" s="5">
        <f t="shared" si="1"/>
        <v>0.39955801104972372</v>
      </c>
      <c r="J29" s="12"/>
      <c r="K29" s="13"/>
      <c r="L29" s="33"/>
    </row>
    <row r="30" spans="1:12" s="1" customFormat="1" x14ac:dyDescent="0.3">
      <c r="A30" s="22" t="s">
        <v>13</v>
      </c>
      <c r="B30" s="22" t="s">
        <v>14</v>
      </c>
      <c r="C30" s="22">
        <v>0.09</v>
      </c>
      <c r="D30" s="5">
        <v>0.76</v>
      </c>
      <c r="E30" s="5">
        <v>2.0499999999999998</v>
      </c>
      <c r="F30" s="5">
        <v>3</v>
      </c>
      <c r="G30" s="5">
        <v>121.76</v>
      </c>
      <c r="H30" s="22">
        <f t="shared" si="8"/>
        <v>0.971385875111486</v>
      </c>
      <c r="I30" s="5">
        <f t="shared" si="1"/>
        <v>0.3997790055248619</v>
      </c>
      <c r="J30" s="12"/>
      <c r="K30" s="13"/>
      <c r="L30" s="33"/>
    </row>
    <row r="31" spans="1:12" s="1" customFormat="1" x14ac:dyDescent="0.3">
      <c r="A31" s="23" t="s">
        <v>10</v>
      </c>
      <c r="B31" s="23" t="s">
        <v>14</v>
      </c>
      <c r="C31" s="23">
        <v>0.1</v>
      </c>
      <c r="D31" s="21">
        <v>0.76</v>
      </c>
      <c r="E31" s="21">
        <v>2.0499999999999998</v>
      </c>
      <c r="F31" s="21">
        <v>3</v>
      </c>
      <c r="G31" s="21">
        <v>121.76</v>
      </c>
      <c r="H31" s="23">
        <f t="shared" si="8"/>
        <v>0.97123253874603832</v>
      </c>
      <c r="I31" s="5">
        <f t="shared" si="1"/>
        <v>0.39999999999999997</v>
      </c>
      <c r="J31" s="12">
        <v>592</v>
      </c>
      <c r="K31" s="13">
        <v>3.95</v>
      </c>
      <c r="L31" s="34"/>
    </row>
    <row r="32" spans="1:12" s="1" customFormat="1" x14ac:dyDescent="0.3">
      <c r="A32" s="23" t="s">
        <v>13</v>
      </c>
      <c r="B32" s="23" t="s">
        <v>14</v>
      </c>
      <c r="C32" s="23">
        <v>5.0000000000000001E-3</v>
      </c>
      <c r="D32" s="21">
        <v>0.76</v>
      </c>
      <c r="E32" s="21">
        <v>2.0499999999999998</v>
      </c>
      <c r="F32" s="21">
        <v>3</v>
      </c>
      <c r="G32" s="21">
        <v>121.76</v>
      </c>
      <c r="H32" s="23">
        <f t="shared" ref="H32" si="9">(1.67+1.81)/(1.414*(1.81+(1-C32)*0.72+D32*C32))</f>
        <v>0.97269119167752016</v>
      </c>
      <c r="I32" s="5">
        <f t="shared" si="1"/>
        <v>0.39790055248618783</v>
      </c>
      <c r="J32" s="12">
        <v>592</v>
      </c>
      <c r="K32" s="13">
        <v>5.58</v>
      </c>
      <c r="L32" s="32" t="s">
        <v>23</v>
      </c>
    </row>
    <row r="33" spans="1:12" s="1" customFormat="1" x14ac:dyDescent="0.3">
      <c r="A33" s="23" t="s">
        <v>13</v>
      </c>
      <c r="B33" s="23" t="s">
        <v>14</v>
      </c>
      <c r="C33" s="23">
        <v>0.01</v>
      </c>
      <c r="D33" s="21">
        <v>0.76</v>
      </c>
      <c r="E33" s="21">
        <v>2.0499999999999998</v>
      </c>
      <c r="F33" s="21">
        <v>3</v>
      </c>
      <c r="G33" s="21">
        <v>121.76</v>
      </c>
      <c r="H33" s="23">
        <f>(1.67+1.81)/(1.414*(1.81+(1-C33)*0.72+D33*C33))</f>
        <v>0.9726143112482063</v>
      </c>
      <c r="I33" s="5">
        <f t="shared" si="1"/>
        <v>0.39801104972375689</v>
      </c>
      <c r="J33" s="12">
        <v>580</v>
      </c>
      <c r="K33" s="13">
        <v>5.61</v>
      </c>
      <c r="L33" s="33"/>
    </row>
    <row r="34" spans="1:12" s="1" customFormat="1" x14ac:dyDescent="0.3">
      <c r="A34" s="23" t="s">
        <v>13</v>
      </c>
      <c r="B34" s="23" t="s">
        <v>14</v>
      </c>
      <c r="C34" s="23">
        <v>1.4999999999999999E-2</v>
      </c>
      <c r="D34" s="21">
        <v>0.76</v>
      </c>
      <c r="E34" s="21">
        <v>2.0499999999999998</v>
      </c>
      <c r="F34" s="21">
        <v>3</v>
      </c>
      <c r="G34" s="21">
        <v>121.76</v>
      </c>
      <c r="H34" s="23">
        <f>(1.67+1.81)/(1.414*(1.81+(1-C34)*0.72+D34*C34))</f>
        <v>0.97253744297101907</v>
      </c>
      <c r="I34" s="5">
        <f t="shared" si="1"/>
        <v>0.3981215469613259</v>
      </c>
      <c r="J34" s="12">
        <v>580</v>
      </c>
      <c r="K34" s="13">
        <v>5.62</v>
      </c>
      <c r="L34" s="33"/>
    </row>
    <row r="35" spans="1:12" s="1" customFormat="1" x14ac:dyDescent="0.3">
      <c r="A35" s="23" t="s">
        <v>13</v>
      </c>
      <c r="B35" s="23" t="s">
        <v>14</v>
      </c>
      <c r="C35" s="23">
        <v>0.02</v>
      </c>
      <c r="D35" s="21">
        <v>0.76</v>
      </c>
      <c r="E35" s="21">
        <v>2.0499999999999998</v>
      </c>
      <c r="F35" s="21">
        <v>3</v>
      </c>
      <c r="G35" s="21">
        <v>121.76</v>
      </c>
      <c r="H35" s="23">
        <f>(1.67+1.81)/(1.414*(1.81+(1-C35)*0.72+D35*C35))</f>
        <v>0.97246058684307768</v>
      </c>
      <c r="I35" s="5">
        <f t="shared" si="1"/>
        <v>0.39823204419889502</v>
      </c>
      <c r="J35" s="12">
        <v>580</v>
      </c>
      <c r="K35" s="13">
        <v>5.4</v>
      </c>
      <c r="L35" s="33"/>
    </row>
    <row r="36" spans="1:12" s="1" customFormat="1" x14ac:dyDescent="0.3">
      <c r="A36" s="22" t="s">
        <v>13</v>
      </c>
      <c r="B36" s="22" t="s">
        <v>14</v>
      </c>
      <c r="C36" s="22">
        <v>2.5000000000000001E-2</v>
      </c>
      <c r="D36" s="5">
        <v>0.76</v>
      </c>
      <c r="E36" s="5">
        <v>2.0499999999999998</v>
      </c>
      <c r="F36" s="5">
        <v>3</v>
      </c>
      <c r="G36" s="5">
        <v>121.76</v>
      </c>
      <c r="H36" s="22">
        <f t="shared" ref="H36" si="10">(1.67+1.81)/(1.414*(1.81+(1-C36)*0.72+D36*C36))</f>
        <v>0.97238374286150175</v>
      </c>
      <c r="I36" s="5">
        <f t="shared" si="1"/>
        <v>0.39834254143646408</v>
      </c>
      <c r="J36" s="12"/>
      <c r="K36" s="13"/>
      <c r="L36" s="33"/>
    </row>
    <row r="37" spans="1:12" s="1" customFormat="1" x14ac:dyDescent="0.3">
      <c r="A37" s="23" t="s">
        <v>13</v>
      </c>
      <c r="B37" s="23" t="s">
        <v>14</v>
      </c>
      <c r="C37" s="23">
        <v>0.03</v>
      </c>
      <c r="D37" s="21">
        <v>0.76</v>
      </c>
      <c r="E37" s="21">
        <v>2.0499999999999998</v>
      </c>
      <c r="F37" s="21">
        <v>3</v>
      </c>
      <c r="G37" s="21">
        <v>121.76</v>
      </c>
      <c r="H37" s="23">
        <f>(1.67+1.81)/(1.414*(1.81+(1-C37)*0.72+D37*C37))</f>
        <v>0.97230691102341227</v>
      </c>
      <c r="I37" s="5">
        <f t="shared" si="1"/>
        <v>0.39845303867403309</v>
      </c>
      <c r="J37" s="12">
        <v>580</v>
      </c>
      <c r="K37" s="13">
        <v>5.34</v>
      </c>
      <c r="L37" s="33"/>
    </row>
    <row r="38" spans="1:12" s="1" customFormat="1" x14ac:dyDescent="0.3">
      <c r="A38" s="22" t="s">
        <v>13</v>
      </c>
      <c r="B38" s="22" t="s">
        <v>14</v>
      </c>
      <c r="C38" s="22">
        <v>3.5000000000000003E-2</v>
      </c>
      <c r="D38" s="5">
        <v>0.76</v>
      </c>
      <c r="E38" s="5">
        <v>2.0499999999999998</v>
      </c>
      <c r="F38" s="5">
        <v>3</v>
      </c>
      <c r="G38" s="5">
        <v>121.76</v>
      </c>
      <c r="H38" s="22">
        <f t="shared" ref="H38" si="11">(1.67+1.81)/(1.414*(1.81+(1-C38)*0.72+D38*C38))</f>
        <v>0.97223009132593075</v>
      </c>
      <c r="I38" s="5">
        <f t="shared" si="1"/>
        <v>0.39856353591160215</v>
      </c>
      <c r="J38" s="12"/>
      <c r="K38" s="13"/>
      <c r="L38" s="33"/>
    </row>
    <row r="39" spans="1:12" s="1" customFormat="1" x14ac:dyDescent="0.3">
      <c r="A39" s="23" t="s">
        <v>13</v>
      </c>
      <c r="B39" s="23" t="s">
        <v>14</v>
      </c>
      <c r="C39" s="23">
        <v>0.04</v>
      </c>
      <c r="D39" s="21">
        <v>0.76</v>
      </c>
      <c r="E39" s="21">
        <v>2.0499999999999998</v>
      </c>
      <c r="F39" s="21">
        <v>3</v>
      </c>
      <c r="G39" s="21">
        <v>121.76</v>
      </c>
      <c r="H39" s="23">
        <f>(1.67+1.81)/(1.414*(1.81+(1-C39)*0.72+D39*C39))</f>
        <v>0.97215328376617993</v>
      </c>
      <c r="I39" s="5">
        <f t="shared" si="1"/>
        <v>0.39867403314917121</v>
      </c>
      <c r="J39" s="12">
        <v>580</v>
      </c>
      <c r="K39" s="13">
        <v>5.28</v>
      </c>
      <c r="L39" s="33"/>
    </row>
    <row r="40" spans="1:12" s="1" customFormat="1" x14ac:dyDescent="0.3">
      <c r="A40" s="22" t="s">
        <v>13</v>
      </c>
      <c r="B40" s="22" t="s">
        <v>14</v>
      </c>
      <c r="C40" s="22">
        <v>4.4999999999999998E-2</v>
      </c>
      <c r="D40" s="5">
        <v>0.76</v>
      </c>
      <c r="E40" s="5">
        <v>2.0499999999999998</v>
      </c>
      <c r="F40" s="5">
        <v>3</v>
      </c>
      <c r="G40" s="5">
        <v>121.76</v>
      </c>
      <c r="H40" s="22">
        <f t="shared" ref="H40" si="12">(1.67+1.81)/(1.414*(1.81+(1-C40)*0.72+D40*C40))</f>
        <v>0.97207648834128335</v>
      </c>
      <c r="I40" s="5">
        <f t="shared" si="1"/>
        <v>0.39878453038674033</v>
      </c>
      <c r="J40" s="12"/>
      <c r="K40" s="13"/>
      <c r="L40" s="33"/>
    </row>
    <row r="41" spans="1:12" s="1" customFormat="1" x14ac:dyDescent="0.3">
      <c r="A41" s="23" t="s">
        <v>13</v>
      </c>
      <c r="B41" s="23" t="s">
        <v>14</v>
      </c>
      <c r="C41" s="23">
        <v>0.05</v>
      </c>
      <c r="D41" s="21">
        <v>0.76</v>
      </c>
      <c r="E41" s="21">
        <v>2.0499999999999998</v>
      </c>
      <c r="F41" s="21">
        <v>3</v>
      </c>
      <c r="G41" s="21">
        <v>121.76</v>
      </c>
      <c r="H41" s="23">
        <f>(1.67+1.81)/(1.414*(1.81+(1-C41)*0.72+D41*C41))</f>
        <v>0.97199970504836553</v>
      </c>
      <c r="I41" s="5">
        <f t="shared" si="1"/>
        <v>0.39889502762430934</v>
      </c>
      <c r="J41" s="12">
        <v>580</v>
      </c>
      <c r="K41" s="13">
        <v>5.16</v>
      </c>
      <c r="L41" s="33"/>
    </row>
    <row r="42" spans="1:12" s="1" customFormat="1" x14ac:dyDescent="0.3">
      <c r="A42" s="22" t="s">
        <v>13</v>
      </c>
      <c r="B42" s="22" t="s">
        <v>14</v>
      </c>
      <c r="C42" s="22">
        <v>5.5E-2</v>
      </c>
      <c r="D42" s="5">
        <v>0.76</v>
      </c>
      <c r="E42" s="5">
        <v>2.0499999999999998</v>
      </c>
      <c r="F42" s="5">
        <v>3</v>
      </c>
      <c r="G42" s="5">
        <v>121.76</v>
      </c>
      <c r="H42" s="22">
        <f t="shared" ref="H42" si="13">(1.67+1.81)/(1.414*(1.81+(1-C42)*0.72+D42*C42))</f>
        <v>0.97192293388455142</v>
      </c>
      <c r="I42" s="5">
        <f t="shared" si="1"/>
        <v>0.3990055248618784</v>
      </c>
      <c r="J42" s="12"/>
      <c r="K42" s="13"/>
      <c r="L42" s="33"/>
    </row>
    <row r="43" spans="1:12" s="1" customFormat="1" x14ac:dyDescent="0.3">
      <c r="A43" s="23" t="s">
        <v>13</v>
      </c>
      <c r="B43" s="23" t="s">
        <v>14</v>
      </c>
      <c r="C43" s="23">
        <v>0.06</v>
      </c>
      <c r="D43" s="21">
        <v>0.76</v>
      </c>
      <c r="E43" s="21">
        <v>2.0499999999999998</v>
      </c>
      <c r="F43" s="21">
        <v>3</v>
      </c>
      <c r="G43" s="21">
        <v>121.76</v>
      </c>
      <c r="H43" s="23">
        <f>(1.67+1.81)/(1.414*(1.81+(1-C43)*0.72+D43*C43))</f>
        <v>0.97184617484696778</v>
      </c>
      <c r="I43" s="5">
        <f t="shared" si="1"/>
        <v>0.39911602209944746</v>
      </c>
      <c r="J43" s="12">
        <v>580</v>
      </c>
      <c r="K43" s="13">
        <v>5.0199999999999996</v>
      </c>
      <c r="L43" s="33"/>
    </row>
    <row r="44" spans="1:12" s="1" customFormat="1" x14ac:dyDescent="0.3">
      <c r="A44" s="22" t="s">
        <v>13</v>
      </c>
      <c r="B44" s="22" t="s">
        <v>14</v>
      </c>
      <c r="C44" s="22">
        <v>6.5000000000000002E-2</v>
      </c>
      <c r="D44" s="5">
        <v>0.76</v>
      </c>
      <c r="E44" s="5">
        <v>2.0499999999999998</v>
      </c>
      <c r="F44" s="5">
        <v>3</v>
      </c>
      <c r="G44" s="5">
        <v>121.76</v>
      </c>
      <c r="H44" s="22">
        <f t="shared" ref="H44" si="14">(1.67+1.81)/(1.414*(1.81+(1-C44)*0.72+D44*C44))</f>
        <v>0.97176942793274157</v>
      </c>
      <c r="I44" s="5">
        <f t="shared" si="1"/>
        <v>0.39922651933701658</v>
      </c>
      <c r="J44" s="12"/>
      <c r="K44" s="13"/>
      <c r="L44" s="33"/>
    </row>
    <row r="45" spans="1:12" s="1" customFormat="1" x14ac:dyDescent="0.3">
      <c r="A45" s="23" t="s">
        <v>10</v>
      </c>
      <c r="B45" s="23" t="s">
        <v>14</v>
      </c>
      <c r="C45" s="23">
        <v>0.08</v>
      </c>
      <c r="D45" s="21">
        <v>0.76</v>
      </c>
      <c r="E45" s="21">
        <v>2.0499999999999998</v>
      </c>
      <c r="F45" s="21">
        <v>3</v>
      </c>
      <c r="G45" s="21">
        <v>121.76</v>
      </c>
      <c r="H45" s="23">
        <f>(1.67+1.81)/(1.414*(1.81+(1-C45)*0.72+D45*C45))</f>
        <v>0.9715392599014927</v>
      </c>
      <c r="I45" s="5">
        <f t="shared" si="1"/>
        <v>0.39955801104972372</v>
      </c>
      <c r="J45" s="12">
        <v>580</v>
      </c>
      <c r="K45" s="13">
        <v>4.8410000000000002</v>
      </c>
      <c r="L45" s="34"/>
    </row>
    <row r="46" spans="1:12" s="1" customFormat="1" ht="42" x14ac:dyDescent="0.3">
      <c r="A46" s="21" t="s">
        <v>3</v>
      </c>
      <c r="B46" s="21" t="s">
        <v>4</v>
      </c>
      <c r="C46" s="21">
        <v>1.5E-3</v>
      </c>
      <c r="D46" s="21">
        <v>0.97</v>
      </c>
      <c r="E46" s="21">
        <v>2.1</v>
      </c>
      <c r="F46" s="21">
        <v>4</v>
      </c>
      <c r="G46" s="24">
        <v>127.6</v>
      </c>
      <c r="H46" s="21">
        <f>(1.67+1.81)/(1.414*(1.81+(1-C46)*0.72+D46*C46))</f>
        <v>0.9726239206372419</v>
      </c>
      <c r="I46" s="5">
        <f t="shared" si="1"/>
        <v>0.39799723756906075</v>
      </c>
      <c r="J46" s="14">
        <v>570</v>
      </c>
      <c r="K46" s="13">
        <v>3.7</v>
      </c>
      <c r="L46" s="18" t="s">
        <v>22</v>
      </c>
    </row>
    <row r="47" spans="1:12" s="1" customFormat="1" x14ac:dyDescent="0.3">
      <c r="A47" s="21" t="s">
        <v>3</v>
      </c>
      <c r="B47" s="21" t="s">
        <v>4</v>
      </c>
      <c r="C47" s="21">
        <v>2E-3</v>
      </c>
      <c r="D47" s="21">
        <v>0.97</v>
      </c>
      <c r="E47" s="21">
        <v>2.1</v>
      </c>
      <c r="F47" s="21">
        <v>4</v>
      </c>
      <c r="G47" s="24">
        <v>127.6</v>
      </c>
      <c r="H47" s="21">
        <f t="shared" si="8"/>
        <v>0.97257587559077696</v>
      </c>
      <c r="I47" s="5">
        <f t="shared" si="1"/>
        <v>0.39806629834254142</v>
      </c>
      <c r="J47" s="14">
        <v>572.20000000000005</v>
      </c>
      <c r="K47" s="7">
        <v>2.0499999999999998</v>
      </c>
      <c r="L47" s="32" t="s">
        <v>9</v>
      </c>
    </row>
    <row r="48" spans="1:12" s="1" customFormat="1" x14ac:dyDescent="0.3">
      <c r="A48" s="21" t="s">
        <v>3</v>
      </c>
      <c r="B48" s="21" t="s">
        <v>4</v>
      </c>
      <c r="C48" s="23">
        <v>3.0000000000000001E-3</v>
      </c>
      <c r="D48" s="21">
        <v>0.97</v>
      </c>
      <c r="E48" s="21">
        <v>2.1</v>
      </c>
      <c r="F48" s="21">
        <v>4</v>
      </c>
      <c r="G48" s="24">
        <v>127.6</v>
      </c>
      <c r="H48" s="21">
        <f t="shared" si="8"/>
        <v>0.972479799736229</v>
      </c>
      <c r="I48" s="5">
        <f t="shared" si="1"/>
        <v>0.39820441988950267</v>
      </c>
      <c r="J48" s="14">
        <v>572.20000000000005</v>
      </c>
      <c r="K48" s="13">
        <v>2.06</v>
      </c>
      <c r="L48" s="33"/>
    </row>
    <row r="49" spans="1:12" s="1" customFormat="1" x14ac:dyDescent="0.3">
      <c r="A49" s="21" t="s">
        <v>3</v>
      </c>
      <c r="B49" s="21" t="s">
        <v>4</v>
      </c>
      <c r="C49" s="23">
        <v>5.0000000000000001E-3</v>
      </c>
      <c r="D49" s="21">
        <v>0.97</v>
      </c>
      <c r="E49" s="21">
        <v>2.1</v>
      </c>
      <c r="F49" s="21">
        <v>4</v>
      </c>
      <c r="G49" s="24">
        <v>127.6</v>
      </c>
      <c r="H49" s="21">
        <f t="shared" si="8"/>
        <v>0.9722877049609725</v>
      </c>
      <c r="I49" s="5">
        <f t="shared" si="1"/>
        <v>0.39848066298342538</v>
      </c>
      <c r="J49" s="14">
        <v>572.20000000000005</v>
      </c>
      <c r="K49" s="13">
        <v>2.5</v>
      </c>
      <c r="L49" s="33"/>
    </row>
    <row r="50" spans="1:12" s="1" customFormat="1" x14ac:dyDescent="0.3">
      <c r="A50" s="5" t="s">
        <v>3</v>
      </c>
      <c r="B50" s="5" t="s">
        <v>4</v>
      </c>
      <c r="C50" s="22">
        <v>6.0000000000000001E-3</v>
      </c>
      <c r="D50" s="5">
        <v>0.97</v>
      </c>
      <c r="E50" s="5">
        <v>2.1</v>
      </c>
      <c r="F50" s="5">
        <v>4</v>
      </c>
      <c r="G50" s="25">
        <v>127.6</v>
      </c>
      <c r="H50" s="5">
        <f t="shared" si="8"/>
        <v>0.97219168602901895</v>
      </c>
      <c r="I50" s="5">
        <f t="shared" si="1"/>
        <v>0.39861878453038674</v>
      </c>
      <c r="J50" s="14"/>
      <c r="K50" s="13"/>
      <c r="L50" s="33"/>
    </row>
    <row r="51" spans="1:12" s="1" customFormat="1" x14ac:dyDescent="0.3">
      <c r="A51" s="21" t="s">
        <v>3</v>
      </c>
      <c r="B51" s="21" t="s">
        <v>4</v>
      </c>
      <c r="C51" s="23">
        <v>8.0000000000000002E-3</v>
      </c>
      <c r="D51" s="21">
        <v>0.97</v>
      </c>
      <c r="E51" s="21">
        <v>2.1</v>
      </c>
      <c r="F51" s="21">
        <v>4</v>
      </c>
      <c r="G51" s="24">
        <v>127.6</v>
      </c>
      <c r="H51" s="21">
        <f t="shared" si="8"/>
        <v>0.97199970504836541</v>
      </c>
      <c r="I51" s="5">
        <f t="shared" si="1"/>
        <v>0.39889502762430934</v>
      </c>
      <c r="J51" s="14">
        <v>571.70000000000005</v>
      </c>
      <c r="K51" s="13">
        <v>1.72</v>
      </c>
      <c r="L51" s="33"/>
    </row>
    <row r="52" spans="1:12" s="1" customFormat="1" x14ac:dyDescent="0.3">
      <c r="A52" s="5" t="s">
        <v>3</v>
      </c>
      <c r="B52" s="5" t="s">
        <v>4</v>
      </c>
      <c r="C52" s="22">
        <v>0.01</v>
      </c>
      <c r="D52" s="5">
        <v>0.97</v>
      </c>
      <c r="E52" s="5">
        <v>2.1</v>
      </c>
      <c r="F52" s="5">
        <v>4</v>
      </c>
      <c r="G52" s="25">
        <v>127.6</v>
      </c>
      <c r="H52" s="5">
        <f t="shared" ref="H52:H55" si="15">(1.67+1.81)/(1.414*(1.81+(1-C52)*0.72+D52*C52))</f>
        <v>0.97180779987461452</v>
      </c>
      <c r="I52" s="5">
        <f t="shared" si="1"/>
        <v>0.39917127071823205</v>
      </c>
      <c r="J52" s="14"/>
      <c r="K52" s="13"/>
      <c r="L52" s="33"/>
    </row>
    <row r="53" spans="1:12" s="1" customFormat="1" x14ac:dyDescent="0.3">
      <c r="A53" s="5" t="s">
        <v>3</v>
      </c>
      <c r="B53" s="5" t="s">
        <v>4</v>
      </c>
      <c r="C53" s="22">
        <v>1.2E-2</v>
      </c>
      <c r="D53" s="5">
        <v>0.97</v>
      </c>
      <c r="E53" s="5">
        <v>2.1</v>
      </c>
      <c r="F53" s="5">
        <v>4</v>
      </c>
      <c r="G53" s="25">
        <v>127.6</v>
      </c>
      <c r="H53" s="5">
        <f t="shared" si="15"/>
        <v>0.97161597046287462</v>
      </c>
      <c r="I53" s="5">
        <f t="shared" si="1"/>
        <v>0.39944751381215465</v>
      </c>
      <c r="J53" s="14"/>
      <c r="K53" s="13"/>
      <c r="L53" s="33"/>
    </row>
    <row r="54" spans="1:12" s="1" customFormat="1" x14ac:dyDescent="0.3">
      <c r="A54" s="5" t="s">
        <v>3</v>
      </c>
      <c r="B54" s="5" t="s">
        <v>4</v>
      </c>
      <c r="C54" s="22">
        <v>1.2999999999999999E-2</v>
      </c>
      <c r="D54" s="5">
        <v>0.97</v>
      </c>
      <c r="E54" s="5">
        <v>2.1</v>
      </c>
      <c r="F54" s="5">
        <v>4</v>
      </c>
      <c r="G54" s="25">
        <v>127.6</v>
      </c>
      <c r="H54" s="5">
        <f t="shared" si="15"/>
        <v>0.97152008415373958</v>
      </c>
      <c r="I54" s="5">
        <f t="shared" si="1"/>
        <v>0.39958563535911601</v>
      </c>
      <c r="J54" s="14"/>
      <c r="K54" s="13"/>
      <c r="L54" s="33"/>
    </row>
    <row r="55" spans="1:12" s="1" customFormat="1" x14ac:dyDescent="0.3">
      <c r="A55" s="5" t="s">
        <v>3</v>
      </c>
      <c r="B55" s="5" t="s">
        <v>4</v>
      </c>
      <c r="C55" s="22">
        <v>1.4E-2</v>
      </c>
      <c r="D55" s="5">
        <v>0.97</v>
      </c>
      <c r="E55" s="5">
        <v>2.1</v>
      </c>
      <c r="F55" s="5">
        <v>4</v>
      </c>
      <c r="G55" s="25">
        <v>127.6</v>
      </c>
      <c r="H55" s="5">
        <f t="shared" si="15"/>
        <v>0.97142421676828938</v>
      </c>
      <c r="I55" s="5">
        <f t="shared" si="1"/>
        <v>0.39972375690607737</v>
      </c>
      <c r="J55" s="14"/>
      <c r="K55" s="13"/>
      <c r="L55" s="33"/>
    </row>
    <row r="56" spans="1:12" s="1" customFormat="1" x14ac:dyDescent="0.3">
      <c r="A56" s="5" t="s">
        <v>3</v>
      </c>
      <c r="B56" s="5" t="s">
        <v>4</v>
      </c>
      <c r="C56" s="22">
        <v>1.6E-2</v>
      </c>
      <c r="D56" s="5">
        <v>0.97</v>
      </c>
      <c r="E56" s="5">
        <v>2.1</v>
      </c>
      <c r="F56" s="5">
        <v>4</v>
      </c>
      <c r="G56" s="25">
        <v>127.6</v>
      </c>
      <c r="H56" s="5">
        <f t="shared" ref="H56:H57" si="16">(1.67+1.81)/(1.414*(1.81+(1-C56)*0.72+D56*C56))</f>
        <v>0.97123253874603832</v>
      </c>
      <c r="I56" s="5">
        <f t="shared" si="1"/>
        <v>0.39999999999999997</v>
      </c>
      <c r="J56" s="14"/>
      <c r="K56" s="13"/>
      <c r="L56" s="33"/>
    </row>
    <row r="57" spans="1:12" s="1" customFormat="1" x14ac:dyDescent="0.3">
      <c r="A57" s="5" t="s">
        <v>3</v>
      </c>
      <c r="B57" s="5" t="s">
        <v>4</v>
      </c>
      <c r="C57" s="22">
        <v>1.7999999999999999E-2</v>
      </c>
      <c r="D57" s="5">
        <v>0.97</v>
      </c>
      <c r="E57" s="5">
        <v>2.1</v>
      </c>
      <c r="F57" s="5">
        <v>4</v>
      </c>
      <c r="G57" s="25">
        <v>127.6</v>
      </c>
      <c r="H57" s="5">
        <f t="shared" si="16"/>
        <v>0.97104093635133604</v>
      </c>
      <c r="I57" s="5">
        <f t="shared" si="1"/>
        <v>0.40027624309392268</v>
      </c>
      <c r="J57" s="14"/>
      <c r="K57" s="13"/>
      <c r="L57" s="33"/>
    </row>
    <row r="58" spans="1:12" s="1" customFormat="1" x14ac:dyDescent="0.3">
      <c r="A58" s="5" t="s">
        <v>3</v>
      </c>
      <c r="B58" s="5" t="s">
        <v>4</v>
      </c>
      <c r="C58" s="22">
        <v>0.02</v>
      </c>
      <c r="D58" s="5">
        <v>0.97</v>
      </c>
      <c r="E58" s="5">
        <v>2.1</v>
      </c>
      <c r="F58" s="5">
        <v>4</v>
      </c>
      <c r="G58" s="25">
        <v>127.6</v>
      </c>
      <c r="H58" s="5">
        <f t="shared" ref="H58" si="17">(1.67+1.81)/(1.414*(1.81+(1-C58)*0.72+D58*C58))</f>
        <v>0.97084940953943233</v>
      </c>
      <c r="I58" s="5">
        <f t="shared" si="1"/>
        <v>0.40055248618784528</v>
      </c>
      <c r="J58" s="14"/>
      <c r="K58" s="13"/>
      <c r="L58" s="33"/>
    </row>
    <row r="59" spans="1:12" s="1" customFormat="1" x14ac:dyDescent="0.3">
      <c r="A59" s="21" t="s">
        <v>3</v>
      </c>
      <c r="B59" s="21" t="s">
        <v>4</v>
      </c>
      <c r="C59" s="23">
        <v>2.1000000000000001E-2</v>
      </c>
      <c r="D59" s="21">
        <v>0.97</v>
      </c>
      <c r="E59" s="21">
        <v>2.1</v>
      </c>
      <c r="F59" s="21">
        <v>4</v>
      </c>
      <c r="G59" s="24">
        <v>127.6</v>
      </c>
      <c r="H59" s="21">
        <f>(1.67+1.81)/(1.414*(1.81+(1-C59)*0.72+D59*C59))</f>
        <v>0.9707536744630556</v>
      </c>
      <c r="I59" s="5">
        <f t="shared" si="1"/>
        <v>0.40069060773480658</v>
      </c>
      <c r="J59" s="14">
        <v>575.5</v>
      </c>
      <c r="K59" s="13">
        <v>1.67</v>
      </c>
      <c r="L59" s="33"/>
    </row>
    <row r="60" spans="1:12" s="1" customFormat="1" x14ac:dyDescent="0.3">
      <c r="A60" s="5" t="s">
        <v>3</v>
      </c>
      <c r="B60" s="5" t="s">
        <v>4</v>
      </c>
      <c r="C60" s="22">
        <v>2.4E-2</v>
      </c>
      <c r="D60" s="5">
        <v>0.97</v>
      </c>
      <c r="E60" s="5">
        <v>2.1</v>
      </c>
      <c r="F60" s="5">
        <v>4</v>
      </c>
      <c r="G60" s="25">
        <v>127.6</v>
      </c>
      <c r="H60" s="5">
        <f t="shared" ref="H60:H64" si="18">(1.67+1.81)/(1.414*(1.81+(1-C60)*0.72+D60*C60))</f>
        <v>0.97046658248519768</v>
      </c>
      <c r="I60" s="5">
        <f t="shared" si="1"/>
        <v>0.40110497237569059</v>
      </c>
      <c r="J60" s="14"/>
      <c r="K60" s="13"/>
      <c r="L60" s="33"/>
    </row>
    <row r="61" spans="1:12" s="1" customFormat="1" x14ac:dyDescent="0.3">
      <c r="A61" s="5" t="s">
        <v>3</v>
      </c>
      <c r="B61" s="5" t="s">
        <v>4</v>
      </c>
      <c r="C61" s="22">
        <v>2.8000000000000001E-2</v>
      </c>
      <c r="D61" s="5">
        <v>0.97</v>
      </c>
      <c r="E61" s="5">
        <v>2.1</v>
      </c>
      <c r="F61" s="5">
        <v>4</v>
      </c>
      <c r="G61" s="25">
        <v>127.6</v>
      </c>
      <c r="H61" s="5">
        <f t="shared" si="18"/>
        <v>0.97008405722603908</v>
      </c>
      <c r="I61" s="5">
        <f t="shared" si="1"/>
        <v>0.40165745856353585</v>
      </c>
      <c r="J61" s="14"/>
      <c r="K61" s="13"/>
      <c r="L61" s="33"/>
    </row>
    <row r="62" spans="1:12" s="1" customFormat="1" x14ac:dyDescent="0.3">
      <c r="A62" s="5" t="s">
        <v>3</v>
      </c>
      <c r="B62" s="5" t="s">
        <v>4</v>
      </c>
      <c r="C62" s="22">
        <v>3.2000000000000001E-2</v>
      </c>
      <c r="D62" s="5">
        <v>0.97</v>
      </c>
      <c r="E62" s="5">
        <v>2.1</v>
      </c>
      <c r="F62" s="5">
        <v>4</v>
      </c>
      <c r="G62" s="25">
        <v>127.6</v>
      </c>
      <c r="H62" s="5">
        <f t="shared" si="18"/>
        <v>0.9697018334052252</v>
      </c>
      <c r="I62" s="5">
        <f t="shared" si="1"/>
        <v>0.40220994475138111</v>
      </c>
      <c r="J62" s="14"/>
      <c r="K62" s="13"/>
      <c r="L62" s="33"/>
    </row>
    <row r="63" spans="1:12" s="1" customFormat="1" x14ac:dyDescent="0.3">
      <c r="A63" s="5" t="s">
        <v>3</v>
      </c>
      <c r="B63" s="5" t="s">
        <v>4</v>
      </c>
      <c r="C63" s="22">
        <v>3.5999999999999997E-2</v>
      </c>
      <c r="D63" s="5">
        <v>0.97</v>
      </c>
      <c r="E63" s="5">
        <v>2.1</v>
      </c>
      <c r="F63" s="5">
        <v>4</v>
      </c>
      <c r="G63" s="25">
        <v>127.6</v>
      </c>
      <c r="H63" s="5">
        <f t="shared" si="18"/>
        <v>0.96931991066658574</v>
      </c>
      <c r="I63" s="5">
        <f t="shared" si="1"/>
        <v>0.40276243093922642</v>
      </c>
      <c r="J63" s="14"/>
      <c r="K63" s="13"/>
      <c r="L63" s="33"/>
    </row>
    <row r="64" spans="1:12" s="1" customFormat="1" x14ac:dyDescent="0.3">
      <c r="A64" s="5" t="s">
        <v>3</v>
      </c>
      <c r="B64" s="5" t="s">
        <v>4</v>
      </c>
      <c r="C64" s="22">
        <v>0.04</v>
      </c>
      <c r="D64" s="5">
        <v>0.97</v>
      </c>
      <c r="E64" s="5">
        <v>2.1</v>
      </c>
      <c r="F64" s="5">
        <v>4</v>
      </c>
      <c r="G64" s="25">
        <v>127.6</v>
      </c>
      <c r="H64" s="5">
        <f t="shared" si="18"/>
        <v>0.96893828865451226</v>
      </c>
      <c r="I64" s="5">
        <f t="shared" si="1"/>
        <v>0.40331491712707179</v>
      </c>
      <c r="J64" s="14"/>
      <c r="K64" s="13"/>
      <c r="L64" s="33"/>
    </row>
    <row r="65" spans="1:12" s="1" customFormat="1" x14ac:dyDescent="0.3">
      <c r="A65" s="5" t="s">
        <v>3</v>
      </c>
      <c r="B65" s="5" t="s">
        <v>4</v>
      </c>
      <c r="C65" s="22">
        <v>4.3999999999999997E-2</v>
      </c>
      <c r="D65" s="5">
        <v>0.97</v>
      </c>
      <c r="E65" s="5">
        <v>2.1</v>
      </c>
      <c r="F65" s="5">
        <v>4</v>
      </c>
      <c r="G65" s="25">
        <v>127.6</v>
      </c>
      <c r="H65" s="5">
        <f t="shared" ref="H65" si="19">(1.67+1.81)/(1.414*(1.81+(1-C65)*0.72+D65*C65))</f>
        <v>0.96855696701395555</v>
      </c>
      <c r="I65" s="5">
        <f t="shared" ref="I65:I120" si="20">((1-C65)*0.72+D65*C65)/1.81</f>
        <v>0.40386740331491705</v>
      </c>
      <c r="J65" s="14"/>
      <c r="K65" s="13"/>
      <c r="L65" s="33"/>
    </row>
    <row r="66" spans="1:12" s="1" customFormat="1" x14ac:dyDescent="0.3">
      <c r="A66" s="21" t="s">
        <v>3</v>
      </c>
      <c r="B66" s="21" t="s">
        <v>4</v>
      </c>
      <c r="C66" s="23">
        <v>4.8000000000000001E-2</v>
      </c>
      <c r="D66" s="21">
        <v>0.97</v>
      </c>
      <c r="E66" s="21">
        <v>2.1</v>
      </c>
      <c r="F66" s="21">
        <v>4</v>
      </c>
      <c r="G66" s="24">
        <v>127.6</v>
      </c>
      <c r="H66" s="21">
        <f>(1.67+1.81)/(1.414*(1.81+(1-C66)*0.72+D66*C66))</f>
        <v>0.9681759453904254</v>
      </c>
      <c r="I66" s="5">
        <f t="shared" si="20"/>
        <v>0.40441988950276242</v>
      </c>
      <c r="J66" s="12">
        <v>573.1</v>
      </c>
      <c r="K66" s="13">
        <v>1.33</v>
      </c>
      <c r="L66" s="33"/>
    </row>
    <row r="67" spans="1:12" s="1" customFormat="1" x14ac:dyDescent="0.3">
      <c r="A67" s="5" t="s">
        <v>3</v>
      </c>
      <c r="B67" s="5" t="s">
        <v>4</v>
      </c>
      <c r="C67" s="22">
        <v>5.1999999999999998E-2</v>
      </c>
      <c r="D67" s="5">
        <v>0.97</v>
      </c>
      <c r="E67" s="5">
        <v>2.1</v>
      </c>
      <c r="F67" s="5">
        <v>4</v>
      </c>
      <c r="G67" s="25">
        <v>127.6</v>
      </c>
      <c r="H67" s="5">
        <f t="shared" ref="H67:H72" si="21">(1.67+1.81)/(1.414*(1.81+(1-C67)*0.72+D67*C67))</f>
        <v>0.96779522342998869</v>
      </c>
      <c r="I67" s="5">
        <f t="shared" si="20"/>
        <v>0.40497237569060773</v>
      </c>
      <c r="J67" s="12"/>
      <c r="K67" s="13"/>
      <c r="L67" s="33"/>
    </row>
    <row r="68" spans="1:12" s="1" customFormat="1" x14ac:dyDescent="0.3">
      <c r="A68" s="5" t="s">
        <v>3</v>
      </c>
      <c r="B68" s="5" t="s">
        <v>4</v>
      </c>
      <c r="C68" s="22">
        <v>5.6000000000000001E-2</v>
      </c>
      <c r="D68" s="5">
        <v>0.97</v>
      </c>
      <c r="E68" s="5">
        <v>2.1</v>
      </c>
      <c r="F68" s="5">
        <v>4</v>
      </c>
      <c r="G68" s="25">
        <v>127.6</v>
      </c>
      <c r="H68" s="5">
        <f t="shared" si="21"/>
        <v>0.96741480077926933</v>
      </c>
      <c r="I68" s="5">
        <f t="shared" si="20"/>
        <v>0.40552486187845299</v>
      </c>
      <c r="J68" s="12"/>
      <c r="K68" s="13"/>
      <c r="L68" s="33"/>
    </row>
    <row r="69" spans="1:12" s="1" customFormat="1" x14ac:dyDescent="0.3">
      <c r="A69" s="5" t="s">
        <v>3</v>
      </c>
      <c r="B69" s="5" t="s">
        <v>4</v>
      </c>
      <c r="C69" s="22">
        <v>0.06</v>
      </c>
      <c r="D69" s="5">
        <v>0.97</v>
      </c>
      <c r="E69" s="5">
        <v>2.1</v>
      </c>
      <c r="F69" s="5">
        <v>4</v>
      </c>
      <c r="G69" s="25">
        <v>127.6</v>
      </c>
      <c r="H69" s="5">
        <f t="shared" si="21"/>
        <v>0.96703467708544655</v>
      </c>
      <c r="I69" s="5">
        <f t="shared" si="20"/>
        <v>0.4060773480662983</v>
      </c>
      <c r="J69" s="12"/>
      <c r="K69" s="13"/>
      <c r="L69" s="33"/>
    </row>
    <row r="70" spans="1:12" s="1" customFormat="1" x14ac:dyDescent="0.3">
      <c r="A70" s="5" t="s">
        <v>3</v>
      </c>
      <c r="B70" s="5" t="s">
        <v>4</v>
      </c>
      <c r="C70" s="22">
        <v>6.4000000000000001E-2</v>
      </c>
      <c r="D70" s="5">
        <v>0.97</v>
      </c>
      <c r="E70" s="5">
        <v>2.1</v>
      </c>
      <c r="F70" s="5">
        <v>4</v>
      </c>
      <c r="G70" s="25">
        <v>127.6</v>
      </c>
      <c r="H70" s="5">
        <f t="shared" si="21"/>
        <v>0.96665485199625345</v>
      </c>
      <c r="I70" s="5">
        <f t="shared" si="20"/>
        <v>0.40662983425414362</v>
      </c>
      <c r="J70" s="12"/>
      <c r="K70" s="13"/>
      <c r="L70" s="33"/>
    </row>
    <row r="71" spans="1:12" s="1" customFormat="1" x14ac:dyDescent="0.3">
      <c r="A71" s="5" t="s">
        <v>3</v>
      </c>
      <c r="B71" s="5" t="s">
        <v>4</v>
      </c>
      <c r="C71" s="22">
        <v>6.8000000000000005E-2</v>
      </c>
      <c r="D71" s="5">
        <v>0.97</v>
      </c>
      <c r="E71" s="5">
        <v>2.1</v>
      </c>
      <c r="F71" s="5">
        <v>4</v>
      </c>
      <c r="G71" s="25">
        <v>127.6</v>
      </c>
      <c r="H71" s="5">
        <f t="shared" si="21"/>
        <v>0.96627532515997683</v>
      </c>
      <c r="I71" s="5">
        <f t="shared" si="20"/>
        <v>0.40718232044198893</v>
      </c>
      <c r="J71" s="12"/>
      <c r="K71" s="13"/>
      <c r="L71" s="33"/>
    </row>
    <row r="72" spans="1:12" s="1" customFormat="1" x14ac:dyDescent="0.3">
      <c r="A72" s="5" t="s">
        <v>3</v>
      </c>
      <c r="B72" s="5" t="s">
        <v>4</v>
      </c>
      <c r="C72" s="22">
        <v>7.1999999999999995E-2</v>
      </c>
      <c r="D72" s="5">
        <v>0.97</v>
      </c>
      <c r="E72" s="5">
        <v>2.1</v>
      </c>
      <c r="F72" s="5">
        <v>4</v>
      </c>
      <c r="G72" s="25">
        <v>127.6</v>
      </c>
      <c r="H72" s="5">
        <f t="shared" si="21"/>
        <v>0.96589609622545569</v>
      </c>
      <c r="I72" s="5">
        <f t="shared" si="20"/>
        <v>0.40773480662983425</v>
      </c>
      <c r="J72" s="12"/>
      <c r="K72" s="13"/>
      <c r="L72" s="33"/>
    </row>
    <row r="73" spans="1:12" s="1" customFormat="1" x14ac:dyDescent="0.3">
      <c r="A73" s="5" t="s">
        <v>3</v>
      </c>
      <c r="B73" s="5" t="s">
        <v>4</v>
      </c>
      <c r="C73" s="22">
        <v>7.5999999999999998E-2</v>
      </c>
      <c r="D73" s="5">
        <v>0.97</v>
      </c>
      <c r="E73" s="5">
        <v>2.1</v>
      </c>
      <c r="F73" s="5">
        <v>4</v>
      </c>
      <c r="G73" s="25">
        <v>127.6</v>
      </c>
      <c r="H73" s="5">
        <f t="shared" ref="H73" si="22">(1.67+1.81)/(1.414*(1.81+(1-C73)*0.72+D73*C73))</f>
        <v>0.96551716484207972</v>
      </c>
      <c r="I73" s="5">
        <f t="shared" si="20"/>
        <v>0.40828729281767956</v>
      </c>
      <c r="J73" s="12"/>
      <c r="K73" s="13"/>
      <c r="L73" s="33"/>
    </row>
    <row r="74" spans="1:12" s="1" customFormat="1" x14ac:dyDescent="0.3">
      <c r="A74" s="21" t="s">
        <v>3</v>
      </c>
      <c r="B74" s="21" t="s">
        <v>4</v>
      </c>
      <c r="C74" s="23">
        <v>7.9000000000000001E-2</v>
      </c>
      <c r="D74" s="21">
        <v>0.97</v>
      </c>
      <c r="E74" s="21">
        <v>2.1</v>
      </c>
      <c r="F74" s="21">
        <v>4</v>
      </c>
      <c r="G74" s="24">
        <v>127.6</v>
      </c>
      <c r="H74" s="21">
        <f>(1.67+1.81)/(1.414*(1.81+(1-C74)*0.72+D74*C74))</f>
        <v>0.96523316136188286</v>
      </c>
      <c r="I74" s="5">
        <f t="shared" si="20"/>
        <v>0.40870165745856352</v>
      </c>
      <c r="J74" s="12">
        <v>574.5</v>
      </c>
      <c r="K74" s="13">
        <v>1.17</v>
      </c>
      <c r="L74" s="33"/>
    </row>
    <row r="75" spans="1:12" s="1" customFormat="1" x14ac:dyDescent="0.3">
      <c r="A75" s="5" t="s">
        <v>3</v>
      </c>
      <c r="B75" s="5" t="s">
        <v>4</v>
      </c>
      <c r="C75" s="22">
        <v>9.1999999999999998E-2</v>
      </c>
      <c r="D75" s="5">
        <v>0.97</v>
      </c>
      <c r="E75" s="5">
        <v>2.1</v>
      </c>
      <c r="F75" s="5">
        <v>4</v>
      </c>
      <c r="G75" s="25">
        <v>127.6</v>
      </c>
      <c r="H75" s="5">
        <f t="shared" ref="H75" si="23">(1.67+1.81)/(1.414*(1.81+(1-C75)*0.72+D75*C75))</f>
        <v>0.96400440782705088</v>
      </c>
      <c r="I75" s="5">
        <f t="shared" si="20"/>
        <v>0.41049723756906076</v>
      </c>
      <c r="J75" s="12"/>
      <c r="K75" s="13"/>
      <c r="L75" s="33"/>
    </row>
    <row r="76" spans="1:12" s="1" customFormat="1" x14ac:dyDescent="0.3">
      <c r="A76" s="5" t="s">
        <v>3</v>
      </c>
      <c r="B76" s="5" t="s">
        <v>4</v>
      </c>
      <c r="C76" s="22">
        <v>0.104</v>
      </c>
      <c r="D76" s="5">
        <v>0.97</v>
      </c>
      <c r="E76" s="5">
        <v>2.1</v>
      </c>
      <c r="F76" s="5">
        <v>4</v>
      </c>
      <c r="G76" s="25">
        <v>127.6</v>
      </c>
      <c r="H76" s="5">
        <f t="shared" ref="H76:H80" si="24">(1.67+1.81)/(1.414*(1.81+(1-C76)*0.72+D76*C76))</f>
        <v>0.96287294725448402</v>
      </c>
      <c r="I76" s="5">
        <f t="shared" si="20"/>
        <v>0.4121546961325967</v>
      </c>
      <c r="J76" s="12"/>
      <c r="K76" s="13"/>
      <c r="L76" s="33"/>
    </row>
    <row r="77" spans="1:12" s="1" customFormat="1" x14ac:dyDescent="0.3">
      <c r="A77" s="5" t="s">
        <v>3</v>
      </c>
      <c r="B77" s="5" t="s">
        <v>4</v>
      </c>
      <c r="C77" s="22">
        <v>0.11600000000000001</v>
      </c>
      <c r="D77" s="5">
        <v>0.97</v>
      </c>
      <c r="E77" s="5">
        <v>2.1</v>
      </c>
      <c r="F77" s="5">
        <v>4</v>
      </c>
      <c r="G77" s="25">
        <v>127.6</v>
      </c>
      <c r="H77" s="5">
        <f t="shared" si="24"/>
        <v>0.96174413957892191</v>
      </c>
      <c r="I77" s="5">
        <f t="shared" si="20"/>
        <v>0.41381215469613253</v>
      </c>
      <c r="J77" s="12"/>
      <c r="K77" s="13"/>
      <c r="L77" s="33"/>
    </row>
    <row r="78" spans="1:12" s="1" customFormat="1" x14ac:dyDescent="0.3">
      <c r="A78" s="5" t="s">
        <v>3</v>
      </c>
      <c r="B78" s="5" t="s">
        <v>4</v>
      </c>
      <c r="C78" s="22">
        <v>0.128</v>
      </c>
      <c r="D78" s="5">
        <v>0.97</v>
      </c>
      <c r="E78" s="5">
        <v>2.1</v>
      </c>
      <c r="F78" s="5">
        <v>4</v>
      </c>
      <c r="G78" s="25">
        <v>127.6</v>
      </c>
      <c r="H78" s="5">
        <f t="shared" si="24"/>
        <v>0.96061797548105443</v>
      </c>
      <c r="I78" s="5">
        <f t="shared" si="20"/>
        <v>0.41546961325966852</v>
      </c>
      <c r="J78" s="12"/>
      <c r="K78" s="13"/>
      <c r="L78" s="33"/>
    </row>
    <row r="79" spans="1:12" s="1" customFormat="1" x14ac:dyDescent="0.3">
      <c r="A79" s="5" t="s">
        <v>3</v>
      </c>
      <c r="B79" s="5" t="s">
        <v>4</v>
      </c>
      <c r="C79" s="22">
        <v>0.14000000000000001</v>
      </c>
      <c r="D79" s="5">
        <v>0.97</v>
      </c>
      <c r="E79" s="5">
        <v>2.1</v>
      </c>
      <c r="F79" s="5">
        <v>4</v>
      </c>
      <c r="G79" s="25">
        <v>127.6</v>
      </c>
      <c r="H79" s="5">
        <f t="shared" si="24"/>
        <v>0.95949444568517006</v>
      </c>
      <c r="I79" s="5">
        <f t="shared" si="20"/>
        <v>0.41712707182320441</v>
      </c>
      <c r="J79" s="12"/>
      <c r="K79" s="13"/>
      <c r="L79" s="33"/>
    </row>
    <row r="80" spans="1:12" s="1" customFormat="1" x14ac:dyDescent="0.3">
      <c r="A80" s="21" t="s">
        <v>3</v>
      </c>
      <c r="B80" s="21" t="s">
        <v>4</v>
      </c>
      <c r="C80" s="23">
        <v>0.14799999999999999</v>
      </c>
      <c r="D80" s="21">
        <v>0.97</v>
      </c>
      <c r="E80" s="21">
        <v>2.1</v>
      </c>
      <c r="F80" s="21">
        <v>4</v>
      </c>
      <c r="G80" s="24">
        <v>127.6</v>
      </c>
      <c r="H80" s="21">
        <f t="shared" si="24"/>
        <v>0.95874688476137948</v>
      </c>
      <c r="I80" s="5">
        <f t="shared" si="20"/>
        <v>0.41823204419889504</v>
      </c>
      <c r="J80" s="12">
        <v>575</v>
      </c>
      <c r="K80" s="13">
        <v>0.95</v>
      </c>
      <c r="L80" s="34"/>
    </row>
    <row r="81" spans="1:12" s="1" customFormat="1" x14ac:dyDescent="0.3">
      <c r="A81" s="21" t="s">
        <v>3</v>
      </c>
      <c r="B81" s="21" t="s">
        <v>4</v>
      </c>
      <c r="C81" s="21">
        <v>0.01</v>
      </c>
      <c r="D81" s="21">
        <v>0.97</v>
      </c>
      <c r="E81" s="21">
        <v>2.1</v>
      </c>
      <c r="F81" s="21">
        <v>4</v>
      </c>
      <c r="G81" s="24">
        <v>127.6</v>
      </c>
      <c r="H81" s="21">
        <f t="shared" ref="H81:H97" si="25">(1.67+1.81)/(1.414*(1.81+(1-C81)*0.72+D81*C81))</f>
        <v>0.97180779987461452</v>
      </c>
      <c r="I81" s="5">
        <f t="shared" si="20"/>
        <v>0.39917127071823205</v>
      </c>
      <c r="J81" s="6">
        <v>572</v>
      </c>
      <c r="K81" s="7">
        <v>6.3</v>
      </c>
      <c r="L81" s="32" t="s">
        <v>7</v>
      </c>
    </row>
    <row r="82" spans="1:12" s="1" customFormat="1" x14ac:dyDescent="0.3">
      <c r="A82" s="5" t="s">
        <v>3</v>
      </c>
      <c r="B82" s="5" t="s">
        <v>4</v>
      </c>
      <c r="C82" s="22">
        <v>1.4999999999999999E-2</v>
      </c>
      <c r="D82" s="5">
        <v>0.97</v>
      </c>
      <c r="E82" s="5">
        <v>2.1</v>
      </c>
      <c r="F82" s="5">
        <v>4</v>
      </c>
      <c r="G82" s="25">
        <v>127.6</v>
      </c>
      <c r="H82" s="5">
        <f>(1.67+1.81)/(1.414*(1.81+(1-C82)*0.72+D82*C82))</f>
        <v>0.97132836830092206</v>
      </c>
      <c r="I82" s="5">
        <f t="shared" si="20"/>
        <v>0.39986187845303861</v>
      </c>
      <c r="J82" s="6"/>
      <c r="K82" s="7"/>
      <c r="L82" s="33"/>
    </row>
    <row r="83" spans="1:12" s="1" customFormat="1" x14ac:dyDescent="0.3">
      <c r="A83" s="5" t="s">
        <v>3</v>
      </c>
      <c r="B83" s="5" t="s">
        <v>4</v>
      </c>
      <c r="C83" s="22">
        <v>0.02</v>
      </c>
      <c r="D83" s="5">
        <v>0.97</v>
      </c>
      <c r="E83" s="5">
        <v>2.1</v>
      </c>
      <c r="F83" s="5">
        <v>4</v>
      </c>
      <c r="G83" s="25">
        <v>127.6</v>
      </c>
      <c r="H83" s="5">
        <f>(1.67+1.81)/(1.414*(1.81+(1-C83)*0.72+D83*C83))</f>
        <v>0.97084940953943233</v>
      </c>
      <c r="I83" s="5">
        <f t="shared" si="20"/>
        <v>0.40055248618784528</v>
      </c>
      <c r="J83" s="6"/>
      <c r="K83" s="7"/>
      <c r="L83" s="33"/>
    </row>
    <row r="84" spans="1:12" s="1" customFormat="1" x14ac:dyDescent="0.3">
      <c r="A84" s="5" t="s">
        <v>3</v>
      </c>
      <c r="B84" s="5" t="s">
        <v>4</v>
      </c>
      <c r="C84" s="22">
        <v>2.5000000000000001E-2</v>
      </c>
      <c r="D84" s="5">
        <v>0.97</v>
      </c>
      <c r="E84" s="5">
        <v>2.1</v>
      </c>
      <c r="F84" s="5">
        <v>4</v>
      </c>
      <c r="G84" s="25">
        <v>127.6</v>
      </c>
      <c r="H84" s="5">
        <f>(1.67+1.81)/(1.414*(1.81+(1-C84)*0.72+D84*C84))</f>
        <v>0.97037092289106408</v>
      </c>
      <c r="I84" s="5">
        <f t="shared" si="20"/>
        <v>0.40124309392265189</v>
      </c>
      <c r="J84" s="6"/>
      <c r="K84" s="7"/>
      <c r="L84" s="33"/>
    </row>
    <row r="85" spans="1:12" s="1" customFormat="1" x14ac:dyDescent="0.3">
      <c r="A85" s="21" t="s">
        <v>3</v>
      </c>
      <c r="B85" s="21" t="s">
        <v>4</v>
      </c>
      <c r="C85" s="21">
        <v>0.03</v>
      </c>
      <c r="D85" s="21">
        <v>0.97</v>
      </c>
      <c r="E85" s="21">
        <v>2.1</v>
      </c>
      <c r="F85" s="21">
        <v>4</v>
      </c>
      <c r="G85" s="24">
        <v>127.6</v>
      </c>
      <c r="H85" s="21">
        <f t="shared" si="25"/>
        <v>0.96989290765811276</v>
      </c>
      <c r="I85" s="5">
        <f t="shared" si="20"/>
        <v>0.40193370165745851</v>
      </c>
      <c r="J85" s="6">
        <v>572</v>
      </c>
      <c r="K85" s="7">
        <v>4.3</v>
      </c>
      <c r="L85" s="33"/>
    </row>
    <row r="86" spans="1:12" s="1" customFormat="1" x14ac:dyDescent="0.3">
      <c r="A86" s="5" t="s">
        <v>3</v>
      </c>
      <c r="B86" s="5" t="s">
        <v>4</v>
      </c>
      <c r="C86" s="22">
        <v>3.5000000000000003E-2</v>
      </c>
      <c r="D86" s="5">
        <v>0.97</v>
      </c>
      <c r="E86" s="5">
        <v>2.1</v>
      </c>
      <c r="F86" s="5">
        <v>4</v>
      </c>
      <c r="G86" s="25">
        <v>127.6</v>
      </c>
      <c r="H86" s="5">
        <f>(1.67+1.81)/(1.414*(1.81+(1-C86)*0.72+D86*C86))</f>
        <v>0.9694153631442487</v>
      </c>
      <c r="I86" s="5">
        <f t="shared" si="20"/>
        <v>0.40262430939226518</v>
      </c>
      <c r="J86" s="6"/>
      <c r="K86" s="7"/>
      <c r="L86" s="33"/>
    </row>
    <row r="87" spans="1:12" s="1" customFormat="1" x14ac:dyDescent="0.3">
      <c r="A87" s="5" t="s">
        <v>3</v>
      </c>
      <c r="B87" s="5" t="s">
        <v>4</v>
      </c>
      <c r="C87" s="22">
        <v>0.04</v>
      </c>
      <c r="D87" s="5">
        <v>0.97</v>
      </c>
      <c r="E87" s="5">
        <v>2.1</v>
      </c>
      <c r="F87" s="5">
        <v>4</v>
      </c>
      <c r="G87" s="25">
        <v>127.6</v>
      </c>
      <c r="H87" s="5">
        <f>(1.67+1.81)/(1.414*(1.81+(1-C87)*0.72+D87*C87))</f>
        <v>0.96893828865451226</v>
      </c>
      <c r="I87" s="5">
        <f t="shared" si="20"/>
        <v>0.40331491712707179</v>
      </c>
      <c r="J87" s="6"/>
      <c r="K87" s="7"/>
      <c r="L87" s="33"/>
    </row>
    <row r="88" spans="1:12" s="1" customFormat="1" x14ac:dyDescent="0.3">
      <c r="A88" s="5" t="s">
        <v>3</v>
      </c>
      <c r="B88" s="5" t="s">
        <v>4</v>
      </c>
      <c r="C88" s="22">
        <v>4.4999999999999998E-2</v>
      </c>
      <c r="D88" s="5">
        <v>0.97</v>
      </c>
      <c r="E88" s="5">
        <v>2.1</v>
      </c>
      <c r="F88" s="5">
        <v>4</v>
      </c>
      <c r="G88" s="25">
        <v>127.6</v>
      </c>
      <c r="H88" s="5">
        <f>(1.67+1.81)/(1.414*(1.81+(1-C88)*0.72+D88*C88))</f>
        <v>0.96846168349531181</v>
      </c>
      <c r="I88" s="5">
        <f t="shared" si="20"/>
        <v>0.40400552486187841</v>
      </c>
      <c r="J88" s="6"/>
      <c r="K88" s="7"/>
      <c r="L88" s="33"/>
    </row>
    <row r="89" spans="1:12" s="1" customFormat="1" x14ac:dyDescent="0.3">
      <c r="A89" s="21" t="s">
        <v>3</v>
      </c>
      <c r="B89" s="21" t="s">
        <v>4</v>
      </c>
      <c r="C89" s="21">
        <v>0.05</v>
      </c>
      <c r="D89" s="21">
        <v>0.97</v>
      </c>
      <c r="E89" s="21">
        <v>2.1</v>
      </c>
      <c r="F89" s="21">
        <v>4</v>
      </c>
      <c r="G89" s="24">
        <v>127.6</v>
      </c>
      <c r="H89" s="21">
        <f t="shared" si="25"/>
        <v>0.96798554697441941</v>
      </c>
      <c r="I89" s="5">
        <f t="shared" si="20"/>
        <v>0.40469613259668502</v>
      </c>
      <c r="J89" s="6">
        <v>574</v>
      </c>
      <c r="K89" s="7">
        <v>3.5</v>
      </c>
      <c r="L89" s="33"/>
    </row>
    <row r="90" spans="1:12" s="1" customFormat="1" ht="14" customHeight="1" x14ac:dyDescent="0.3">
      <c r="A90" s="5" t="s">
        <v>3</v>
      </c>
      <c r="B90" s="5" t="s">
        <v>4</v>
      </c>
      <c r="C90" s="22">
        <v>5.5E-2</v>
      </c>
      <c r="D90" s="5">
        <v>0.97</v>
      </c>
      <c r="E90" s="5">
        <v>2.1</v>
      </c>
      <c r="F90" s="5">
        <v>4</v>
      </c>
      <c r="G90" s="25">
        <v>127.6</v>
      </c>
      <c r="H90" s="5">
        <f>(1.67+1.81)/(1.414*(1.81+(1-C90)*0.72+D90*C90))</f>
        <v>0.96750987840096758</v>
      </c>
      <c r="I90" s="5">
        <f t="shared" si="20"/>
        <v>0.40538674033149164</v>
      </c>
      <c r="J90" s="6"/>
      <c r="K90" s="7"/>
      <c r="L90" s="33"/>
    </row>
    <row r="91" spans="1:12" s="1" customFormat="1" ht="14" customHeight="1" x14ac:dyDescent="0.3">
      <c r="A91" s="5" t="s">
        <v>3</v>
      </c>
      <c r="B91" s="5" t="s">
        <v>4</v>
      </c>
      <c r="C91" s="22">
        <v>0.06</v>
      </c>
      <c r="D91" s="5">
        <v>0.97</v>
      </c>
      <c r="E91" s="5">
        <v>2.1</v>
      </c>
      <c r="F91" s="5">
        <v>4</v>
      </c>
      <c r="G91" s="25">
        <v>127.6</v>
      </c>
      <c r="H91" s="5">
        <f>(1.67+1.81)/(1.414*(1.81+(1-C91)*0.72+D91*C91))</f>
        <v>0.96703467708544655</v>
      </c>
      <c r="I91" s="5">
        <f t="shared" si="20"/>
        <v>0.4060773480662983</v>
      </c>
      <c r="J91" s="6"/>
      <c r="K91" s="7"/>
      <c r="L91" s="33"/>
    </row>
    <row r="92" spans="1:12" s="1" customFormat="1" ht="14" customHeight="1" x14ac:dyDescent="0.3">
      <c r="A92" s="5" t="s">
        <v>3</v>
      </c>
      <c r="B92" s="5" t="s">
        <v>4</v>
      </c>
      <c r="C92" s="22">
        <v>6.5000000000000002E-2</v>
      </c>
      <c r="D92" s="5">
        <v>0.97</v>
      </c>
      <c r="E92" s="5">
        <v>2.1</v>
      </c>
      <c r="F92" s="5">
        <v>4</v>
      </c>
      <c r="G92" s="25">
        <v>127.6</v>
      </c>
      <c r="H92" s="5">
        <f>(1.67+1.81)/(1.414*(1.81+(1-C92)*0.72+D92*C92))</f>
        <v>0.9665599423397</v>
      </c>
      <c r="I92" s="5">
        <f t="shared" si="20"/>
        <v>0.40676795580110497</v>
      </c>
      <c r="J92" s="6"/>
      <c r="K92" s="7"/>
      <c r="L92" s="33"/>
    </row>
    <row r="93" spans="1:12" s="1" customFormat="1" ht="14" customHeight="1" x14ac:dyDescent="0.3">
      <c r="A93" s="21" t="s">
        <v>3</v>
      </c>
      <c r="B93" s="21" t="s">
        <v>4</v>
      </c>
      <c r="C93" s="21">
        <v>7.0000000000000007E-2</v>
      </c>
      <c r="D93" s="21">
        <v>0.97</v>
      </c>
      <c r="E93" s="21">
        <v>2.1</v>
      </c>
      <c r="F93" s="21">
        <v>4</v>
      </c>
      <c r="G93" s="24">
        <v>127.6</v>
      </c>
      <c r="H93" s="21">
        <f t="shared" si="25"/>
        <v>0.96608567347692298</v>
      </c>
      <c r="I93" s="5">
        <f t="shared" si="20"/>
        <v>0.40745856353591153</v>
      </c>
      <c r="J93" s="6">
        <v>575</v>
      </c>
      <c r="K93" s="7">
        <v>3</v>
      </c>
      <c r="L93" s="33"/>
    </row>
    <row r="94" spans="1:12" s="1" customFormat="1" x14ac:dyDescent="0.3">
      <c r="A94" s="5" t="s">
        <v>3</v>
      </c>
      <c r="B94" s="5" t="s">
        <v>4</v>
      </c>
      <c r="C94" s="22">
        <v>7.4999999999999997E-2</v>
      </c>
      <c r="D94" s="5">
        <v>0.97</v>
      </c>
      <c r="E94" s="5">
        <v>2.1</v>
      </c>
      <c r="F94" s="5">
        <v>4</v>
      </c>
      <c r="G94" s="25">
        <v>127.6</v>
      </c>
      <c r="H94" s="5">
        <f>(1.67+1.81)/(1.414*(1.81+(1-C94)*0.72+D94*C94))</f>
        <v>0.96561186981165714</v>
      </c>
      <c r="I94" s="5">
        <f t="shared" si="20"/>
        <v>0.4081491712707182</v>
      </c>
      <c r="J94" s="6"/>
      <c r="K94" s="7"/>
      <c r="L94" s="33"/>
    </row>
    <row r="95" spans="1:12" s="1" customFormat="1" x14ac:dyDescent="0.3">
      <c r="A95" s="5" t="s">
        <v>3</v>
      </c>
      <c r="B95" s="5" t="s">
        <v>4</v>
      </c>
      <c r="C95" s="22">
        <v>0.08</v>
      </c>
      <c r="D95" s="5">
        <v>0.97</v>
      </c>
      <c r="E95" s="5">
        <v>2.1</v>
      </c>
      <c r="F95" s="5">
        <v>4</v>
      </c>
      <c r="G95" s="25">
        <v>127.6</v>
      </c>
      <c r="H95" s="5">
        <f>(1.67+1.81)/(1.414*(1.81+(1-C95)*0.72+D95*C95))</f>
        <v>0.96513853065978872</v>
      </c>
      <c r="I95" s="5">
        <f t="shared" si="20"/>
        <v>0.40883977900552487</v>
      </c>
      <c r="J95" s="6"/>
      <c r="K95" s="7"/>
      <c r="L95" s="33"/>
    </row>
    <row r="96" spans="1:12" s="1" customFormat="1" x14ac:dyDescent="0.3">
      <c r="A96" s="5" t="s">
        <v>3</v>
      </c>
      <c r="B96" s="5" t="s">
        <v>4</v>
      </c>
      <c r="C96" s="22">
        <v>8.5000000000000006E-2</v>
      </c>
      <c r="D96" s="5">
        <v>0.97</v>
      </c>
      <c r="E96" s="5">
        <v>2.1</v>
      </c>
      <c r="F96" s="5">
        <v>4</v>
      </c>
      <c r="G96" s="25">
        <v>127.6</v>
      </c>
      <c r="H96" s="5">
        <f>(1.67+1.81)/(1.414*(1.81+(1-C96)*0.72+D96*C96))</f>
        <v>0.96466565533854431</v>
      </c>
      <c r="I96" s="5">
        <f t="shared" si="20"/>
        <v>0.40953038674033154</v>
      </c>
      <c r="J96" s="6"/>
      <c r="K96" s="7"/>
      <c r="L96" s="33"/>
    </row>
    <row r="97" spans="1:12" s="1" customFormat="1" x14ac:dyDescent="0.3">
      <c r="A97" s="21" t="s">
        <v>3</v>
      </c>
      <c r="B97" s="21" t="s">
        <v>4</v>
      </c>
      <c r="C97" s="21">
        <v>0.09</v>
      </c>
      <c r="D97" s="21">
        <v>0.97</v>
      </c>
      <c r="E97" s="21">
        <v>2.1</v>
      </c>
      <c r="F97" s="21">
        <v>4</v>
      </c>
      <c r="G97" s="24">
        <v>127.6</v>
      </c>
      <c r="H97" s="21">
        <f t="shared" si="25"/>
        <v>0.96419324316648825</v>
      </c>
      <c r="I97" s="5">
        <f t="shared" si="20"/>
        <v>0.4102209944751381</v>
      </c>
      <c r="J97" s="6">
        <v>576</v>
      </c>
      <c r="K97" s="7">
        <v>2.7</v>
      </c>
      <c r="L97" s="34"/>
    </row>
    <row r="98" spans="1:12" s="1" customFormat="1" ht="14" customHeight="1" x14ac:dyDescent="0.3">
      <c r="A98" s="23" t="s">
        <v>11</v>
      </c>
      <c r="B98" s="23" t="s">
        <v>12</v>
      </c>
      <c r="C98" s="23">
        <v>2.5000000000000001E-2</v>
      </c>
      <c r="D98" s="23">
        <v>0.61499999999999999</v>
      </c>
      <c r="E98" s="23">
        <v>1.66</v>
      </c>
      <c r="F98" s="23">
        <v>3</v>
      </c>
      <c r="G98" s="23">
        <v>51.996000000000002</v>
      </c>
      <c r="H98" s="23">
        <f t="shared" ref="H98:H111" si="26">(1.67+1.81)/(1.414*(1.81+(1-C98)*0.72+D98*C98))</f>
        <v>0.97377842749194754</v>
      </c>
      <c r="I98" s="5">
        <f t="shared" si="20"/>
        <v>0.39633977900552486</v>
      </c>
      <c r="J98" s="12">
        <v>903.5</v>
      </c>
      <c r="K98" s="13">
        <v>35.01</v>
      </c>
      <c r="L98" s="33" t="s">
        <v>36</v>
      </c>
    </row>
    <row r="99" spans="1:12" s="1" customFormat="1" ht="14" customHeight="1" x14ac:dyDescent="0.3">
      <c r="A99" s="22" t="s">
        <v>11</v>
      </c>
      <c r="B99" s="22" t="s">
        <v>12</v>
      </c>
      <c r="C99" s="22">
        <v>2.8000000000000001E-2</v>
      </c>
      <c r="D99" s="22">
        <v>0.61499999999999999</v>
      </c>
      <c r="E99" s="22">
        <v>1.66</v>
      </c>
      <c r="F99" s="22">
        <v>3</v>
      </c>
      <c r="G99" s="22">
        <v>51.996000000000002</v>
      </c>
      <c r="H99" s="22">
        <f t="shared" si="26"/>
        <v>0.9738998097324405</v>
      </c>
      <c r="I99" s="5">
        <f t="shared" si="20"/>
        <v>0.39616574585635356</v>
      </c>
      <c r="J99" s="12"/>
      <c r="K99" s="13"/>
      <c r="L99" s="33"/>
    </row>
    <row r="100" spans="1:12" s="1" customFormat="1" ht="14" customHeight="1" x14ac:dyDescent="0.3">
      <c r="A100" s="22" t="s">
        <v>11</v>
      </c>
      <c r="B100" s="22" t="s">
        <v>12</v>
      </c>
      <c r="C100" s="22">
        <v>0.03</v>
      </c>
      <c r="D100" s="22">
        <v>0.61499999999999999</v>
      </c>
      <c r="E100" s="22">
        <v>1.66</v>
      </c>
      <c r="F100" s="22">
        <v>3</v>
      </c>
      <c r="G100" s="22">
        <v>51.996000000000002</v>
      </c>
      <c r="H100" s="22">
        <f t="shared" si="26"/>
        <v>0.97398074803904511</v>
      </c>
      <c r="I100" s="5">
        <f t="shared" si="20"/>
        <v>0.396049723756906</v>
      </c>
      <c r="J100" s="12"/>
      <c r="K100" s="13"/>
      <c r="L100" s="33"/>
    </row>
    <row r="101" spans="1:12" s="1" customFormat="1" ht="14" customHeight="1" x14ac:dyDescent="0.3">
      <c r="A101" s="22" t="s">
        <v>11</v>
      </c>
      <c r="B101" s="22" t="s">
        <v>12</v>
      </c>
      <c r="C101" s="22">
        <v>3.4000000000000002E-2</v>
      </c>
      <c r="D101" s="22">
        <v>0.61499999999999999</v>
      </c>
      <c r="E101" s="22">
        <v>1.66</v>
      </c>
      <c r="F101" s="22">
        <v>3</v>
      </c>
      <c r="G101" s="22">
        <v>51.996000000000002</v>
      </c>
      <c r="H101" s="22">
        <f t="shared" si="26"/>
        <v>0.97414266501840996</v>
      </c>
      <c r="I101" s="5">
        <f t="shared" si="20"/>
        <v>0.395817679558011</v>
      </c>
      <c r="J101" s="12"/>
      <c r="K101" s="13"/>
      <c r="L101" s="33"/>
    </row>
    <row r="102" spans="1:12" s="1" customFormat="1" ht="14" customHeight="1" x14ac:dyDescent="0.3">
      <c r="A102" s="22" t="s">
        <v>11</v>
      </c>
      <c r="B102" s="22" t="s">
        <v>12</v>
      </c>
      <c r="C102" s="22">
        <v>3.7999999999999999E-2</v>
      </c>
      <c r="D102" s="22">
        <v>0.61499999999999999</v>
      </c>
      <c r="E102" s="22">
        <v>1.66</v>
      </c>
      <c r="F102" s="22">
        <v>3</v>
      </c>
      <c r="G102" s="22">
        <v>51.996000000000002</v>
      </c>
      <c r="H102" s="22">
        <f t="shared" si="26"/>
        <v>0.97430463584168758</v>
      </c>
      <c r="I102" s="5">
        <f t="shared" si="20"/>
        <v>0.39558563535911595</v>
      </c>
      <c r="J102" s="12"/>
      <c r="K102" s="13"/>
      <c r="L102" s="33"/>
    </row>
    <row r="103" spans="1:12" s="1" customFormat="1" ht="14" customHeight="1" x14ac:dyDescent="0.3">
      <c r="A103" s="22" t="s">
        <v>11</v>
      </c>
      <c r="B103" s="22" t="s">
        <v>12</v>
      </c>
      <c r="C103" s="22">
        <v>4.2000000000000003E-2</v>
      </c>
      <c r="D103" s="22">
        <v>0.61499999999999999</v>
      </c>
      <c r="E103" s="22">
        <v>1.66</v>
      </c>
      <c r="F103" s="22">
        <v>3</v>
      </c>
      <c r="G103" s="22">
        <v>51.996000000000002</v>
      </c>
      <c r="H103" s="22">
        <f t="shared" si="26"/>
        <v>0.97446666053574049</v>
      </c>
      <c r="I103" s="5">
        <f t="shared" si="20"/>
        <v>0.39535359116022095</v>
      </c>
      <c r="J103" s="12"/>
      <c r="K103" s="13"/>
      <c r="L103" s="33"/>
    </row>
    <row r="104" spans="1:12" s="1" customFormat="1" x14ac:dyDescent="0.3">
      <c r="A104" s="22" t="s">
        <v>11</v>
      </c>
      <c r="B104" s="22" t="s">
        <v>12</v>
      </c>
      <c r="C104" s="22">
        <v>4.5999999999999999E-2</v>
      </c>
      <c r="D104" s="22">
        <v>0.61499999999999999</v>
      </c>
      <c r="E104" s="22">
        <v>1.66</v>
      </c>
      <c r="F104" s="22">
        <v>3</v>
      </c>
      <c r="G104" s="22">
        <v>51.996000000000002</v>
      </c>
      <c r="H104" s="22">
        <f t="shared" si="26"/>
        <v>0.9746287391274493</v>
      </c>
      <c r="I104" s="5">
        <f t="shared" si="20"/>
        <v>0.39512154696132595</v>
      </c>
      <c r="J104" s="12"/>
      <c r="K104" s="13"/>
      <c r="L104" s="33"/>
    </row>
    <row r="105" spans="1:12" s="1" customFormat="1" x14ac:dyDescent="0.3">
      <c r="A105" s="23" t="s">
        <v>11</v>
      </c>
      <c r="B105" s="23" t="s">
        <v>12</v>
      </c>
      <c r="C105" s="23">
        <v>0.05</v>
      </c>
      <c r="D105" s="23">
        <v>0.61499999999999999</v>
      </c>
      <c r="E105" s="23">
        <v>1.66</v>
      </c>
      <c r="F105" s="23">
        <v>3</v>
      </c>
      <c r="G105" s="23">
        <v>51.996000000000002</v>
      </c>
      <c r="H105" s="23">
        <f t="shared" si="26"/>
        <v>0.97479087164371192</v>
      </c>
      <c r="I105" s="5">
        <f t="shared" si="20"/>
        <v>0.3948895027624309</v>
      </c>
      <c r="J105" s="12">
        <v>900.3</v>
      </c>
      <c r="K105" s="13">
        <v>34.700000000000003</v>
      </c>
      <c r="L105" s="33"/>
    </row>
    <row r="106" spans="1:12" s="1" customFormat="1" x14ac:dyDescent="0.3">
      <c r="A106" s="22" t="s">
        <v>11</v>
      </c>
      <c r="B106" s="22" t="s">
        <v>12</v>
      </c>
      <c r="C106" s="22">
        <v>5.3999999999999999E-2</v>
      </c>
      <c r="D106" s="22">
        <v>0.61499999999999999</v>
      </c>
      <c r="E106" s="22">
        <v>1.66</v>
      </c>
      <c r="F106" s="22">
        <v>3</v>
      </c>
      <c r="G106" s="22">
        <v>51.996000000000002</v>
      </c>
      <c r="H106" s="22">
        <f t="shared" si="26"/>
        <v>0.97495305811144384</v>
      </c>
      <c r="I106" s="5">
        <f t="shared" si="20"/>
        <v>0.39465745856353585</v>
      </c>
      <c r="J106" s="12"/>
      <c r="K106" s="13"/>
      <c r="L106" s="33"/>
    </row>
    <row r="107" spans="1:12" s="1" customFormat="1" x14ac:dyDescent="0.3">
      <c r="A107" s="22" t="s">
        <v>11</v>
      </c>
      <c r="B107" s="22" t="s">
        <v>12</v>
      </c>
      <c r="C107" s="22">
        <v>5.8000000000000003E-2</v>
      </c>
      <c r="D107" s="22">
        <v>0.61499999999999999</v>
      </c>
      <c r="E107" s="22">
        <v>1.66</v>
      </c>
      <c r="F107" s="22">
        <v>3</v>
      </c>
      <c r="G107" s="22">
        <v>51.996000000000002</v>
      </c>
      <c r="H107" s="22">
        <f t="shared" si="26"/>
        <v>0.97511529855757972</v>
      </c>
      <c r="I107" s="5">
        <f t="shared" si="20"/>
        <v>0.39442541436464085</v>
      </c>
      <c r="J107" s="12"/>
      <c r="K107" s="13"/>
      <c r="L107" s="33"/>
    </row>
    <row r="108" spans="1:12" s="1" customFormat="1" x14ac:dyDescent="0.3">
      <c r="A108" s="22" t="s">
        <v>11</v>
      </c>
      <c r="B108" s="22" t="s">
        <v>12</v>
      </c>
      <c r="C108" s="22">
        <v>6.2E-2</v>
      </c>
      <c r="D108" s="22">
        <v>0.61499999999999999</v>
      </c>
      <c r="E108" s="22">
        <v>1.66</v>
      </c>
      <c r="F108" s="22">
        <v>3</v>
      </c>
      <c r="G108" s="22">
        <v>51.996000000000002</v>
      </c>
      <c r="H108" s="22">
        <f t="shared" si="26"/>
        <v>0.97527759300907135</v>
      </c>
      <c r="I108" s="5">
        <f t="shared" si="20"/>
        <v>0.39419337016574585</v>
      </c>
      <c r="J108" s="12"/>
      <c r="K108" s="13"/>
      <c r="L108" s="33"/>
    </row>
    <row r="109" spans="1:12" s="1" customFormat="1" x14ac:dyDescent="0.3">
      <c r="A109" s="22" t="s">
        <v>11</v>
      </c>
      <c r="B109" s="22" t="s">
        <v>12</v>
      </c>
      <c r="C109" s="22">
        <v>6.6000000000000003E-2</v>
      </c>
      <c r="D109" s="22">
        <v>0.61499999999999999</v>
      </c>
      <c r="E109" s="22">
        <v>1.66</v>
      </c>
      <c r="F109" s="22">
        <v>3</v>
      </c>
      <c r="G109" s="22">
        <v>51.996000000000002</v>
      </c>
      <c r="H109" s="22">
        <f t="shared" si="26"/>
        <v>0.97543994149288826</v>
      </c>
      <c r="I109" s="5">
        <f t="shared" si="20"/>
        <v>0.39396132596685079</v>
      </c>
      <c r="J109" s="12"/>
      <c r="K109" s="13"/>
      <c r="L109" s="33"/>
    </row>
    <row r="110" spans="1:12" s="1" customFormat="1" x14ac:dyDescent="0.3">
      <c r="A110" s="22" t="s">
        <v>11</v>
      </c>
      <c r="B110" s="22" t="s">
        <v>12</v>
      </c>
      <c r="C110" s="22">
        <v>7.0000000000000007E-2</v>
      </c>
      <c r="D110" s="22">
        <v>0.61499999999999999</v>
      </c>
      <c r="E110" s="22">
        <v>1.66</v>
      </c>
      <c r="F110" s="22">
        <v>3</v>
      </c>
      <c r="G110" s="22">
        <v>51.996000000000002</v>
      </c>
      <c r="H110" s="22">
        <f t="shared" si="26"/>
        <v>0.9756023440360182</v>
      </c>
      <c r="I110" s="5">
        <f t="shared" si="20"/>
        <v>0.3937292817679558</v>
      </c>
      <c r="J110" s="12"/>
      <c r="K110" s="13"/>
      <c r="L110" s="33"/>
    </row>
    <row r="111" spans="1:12" s="1" customFormat="1" x14ac:dyDescent="0.3">
      <c r="A111" s="22" t="s">
        <v>11</v>
      </c>
      <c r="B111" s="22" t="s">
        <v>12</v>
      </c>
      <c r="C111" s="22">
        <v>7.8E-2</v>
      </c>
      <c r="D111" s="22">
        <v>0.61499999999999999</v>
      </c>
      <c r="E111" s="22">
        <v>1.66</v>
      </c>
      <c r="F111" s="22">
        <v>3</v>
      </c>
      <c r="G111" s="22">
        <v>51.996000000000002</v>
      </c>
      <c r="H111" s="22">
        <f t="shared" si="26"/>
        <v>0.97592731140825884</v>
      </c>
      <c r="I111" s="5">
        <f t="shared" si="20"/>
        <v>0.39326519337016569</v>
      </c>
      <c r="J111" s="12"/>
      <c r="K111" s="13"/>
      <c r="L111" s="33"/>
    </row>
    <row r="112" spans="1:12" s="1" customFormat="1" x14ac:dyDescent="0.3">
      <c r="A112" s="22" t="s">
        <v>11</v>
      </c>
      <c r="B112" s="22" t="s">
        <v>12</v>
      </c>
      <c r="C112" s="22">
        <v>8.5999999999999993E-2</v>
      </c>
      <c r="D112" s="22">
        <v>0.61499999999999999</v>
      </c>
      <c r="E112" s="22">
        <v>1.66</v>
      </c>
      <c r="F112" s="22">
        <v>3</v>
      </c>
      <c r="G112" s="22">
        <v>51.996000000000002</v>
      </c>
      <c r="H112" s="22">
        <f t="shared" ref="H112:H127" si="27">(1.67+1.81)/(1.414*(1.81+(1-C112)*0.72+D112*C112))</f>
        <v>0.97625249534205527</v>
      </c>
      <c r="I112" s="5">
        <f t="shared" si="20"/>
        <v>0.39280110497237569</v>
      </c>
      <c r="J112" s="12"/>
      <c r="K112" s="13"/>
      <c r="L112" s="33"/>
    </row>
    <row r="113" spans="1:12" s="1" customFormat="1" x14ac:dyDescent="0.3">
      <c r="A113" s="22" t="s">
        <v>11</v>
      </c>
      <c r="B113" s="22" t="s">
        <v>12</v>
      </c>
      <c r="C113" s="22">
        <v>9.4E-2</v>
      </c>
      <c r="D113" s="22">
        <v>0.61499999999999999</v>
      </c>
      <c r="E113" s="22">
        <v>1.66</v>
      </c>
      <c r="F113" s="22">
        <v>3</v>
      </c>
      <c r="G113" s="22">
        <v>51.996000000000002</v>
      </c>
      <c r="H113" s="22">
        <f t="shared" si="27"/>
        <v>0.97657789605395795</v>
      </c>
      <c r="I113" s="5">
        <f t="shared" si="20"/>
        <v>0.39233701657458564</v>
      </c>
      <c r="J113" s="12"/>
      <c r="K113" s="13"/>
      <c r="L113" s="33"/>
    </row>
    <row r="114" spans="1:12" s="1" customFormat="1" x14ac:dyDescent="0.3">
      <c r="A114" s="23" t="s">
        <v>11</v>
      </c>
      <c r="B114" s="23" t="s">
        <v>12</v>
      </c>
      <c r="C114" s="23">
        <v>0.1</v>
      </c>
      <c r="D114" s="23">
        <v>0.61499999999999999</v>
      </c>
      <c r="E114" s="23">
        <v>1.66</v>
      </c>
      <c r="F114" s="23">
        <v>3</v>
      </c>
      <c r="G114" s="23">
        <v>51.996000000000002</v>
      </c>
      <c r="H114" s="23">
        <f t="shared" si="27"/>
        <v>0.97682208897894851</v>
      </c>
      <c r="I114" s="5">
        <f t="shared" si="20"/>
        <v>0.39198895027624309</v>
      </c>
      <c r="J114" s="12">
        <v>897.1</v>
      </c>
      <c r="K114" s="13">
        <v>32.93</v>
      </c>
      <c r="L114" s="33"/>
    </row>
    <row r="115" spans="1:12" s="1" customFormat="1" x14ac:dyDescent="0.3">
      <c r="A115" s="22" t="s">
        <v>11</v>
      </c>
      <c r="B115" s="22" t="s">
        <v>12</v>
      </c>
      <c r="C115" s="22">
        <v>0.12</v>
      </c>
      <c r="D115" s="22">
        <v>0.61499999999999999</v>
      </c>
      <c r="E115" s="22">
        <v>1.66</v>
      </c>
      <c r="F115" s="22">
        <v>3</v>
      </c>
      <c r="G115" s="22">
        <v>51.996000000000002</v>
      </c>
      <c r="H115" s="22">
        <f t="shared" si="27"/>
        <v>0.97763694811411039</v>
      </c>
      <c r="I115" s="5">
        <f t="shared" si="20"/>
        <v>0.39082872928176787</v>
      </c>
      <c r="J115" s="12"/>
      <c r="K115" s="13"/>
      <c r="L115" s="33"/>
    </row>
    <row r="116" spans="1:12" s="1" customFormat="1" x14ac:dyDescent="0.3">
      <c r="A116" s="22" t="s">
        <v>11</v>
      </c>
      <c r="B116" s="22" t="s">
        <v>12</v>
      </c>
      <c r="C116" s="22">
        <v>0.14000000000000001</v>
      </c>
      <c r="D116" s="22">
        <v>0.61499999999999999</v>
      </c>
      <c r="E116" s="22">
        <v>1.66</v>
      </c>
      <c r="F116" s="22">
        <v>3</v>
      </c>
      <c r="G116" s="22">
        <v>51.996000000000002</v>
      </c>
      <c r="H116" s="22">
        <f t="shared" si="27"/>
        <v>0.97845316788552517</v>
      </c>
      <c r="I116" s="5">
        <f t="shared" si="20"/>
        <v>0.38966850828729283</v>
      </c>
      <c r="J116" s="12"/>
      <c r="K116" s="13"/>
      <c r="L116" s="33"/>
    </row>
    <row r="117" spans="1:12" s="1" customFormat="1" x14ac:dyDescent="0.3">
      <c r="A117" s="22" t="s">
        <v>11</v>
      </c>
      <c r="B117" s="22" t="s">
        <v>12</v>
      </c>
      <c r="C117" s="22">
        <v>0.16</v>
      </c>
      <c r="D117" s="22">
        <v>0.61499999999999999</v>
      </c>
      <c r="E117" s="22">
        <v>1.66</v>
      </c>
      <c r="F117" s="22">
        <v>3</v>
      </c>
      <c r="G117" s="22">
        <v>51.996000000000002</v>
      </c>
      <c r="H117" s="22">
        <f t="shared" si="27"/>
        <v>0.97927075170398747</v>
      </c>
      <c r="I117" s="5">
        <f t="shared" si="20"/>
        <v>0.38850828729281767</v>
      </c>
      <c r="J117" s="12"/>
      <c r="K117" s="13"/>
      <c r="L117" s="33"/>
    </row>
    <row r="118" spans="1:12" s="1" customFormat="1" x14ac:dyDescent="0.3">
      <c r="A118" s="22" t="s">
        <v>11</v>
      </c>
      <c r="B118" s="22" t="s">
        <v>12</v>
      </c>
      <c r="C118" s="22">
        <v>0.18</v>
      </c>
      <c r="D118" s="22">
        <v>0.61499999999999999</v>
      </c>
      <c r="E118" s="22">
        <v>1.66</v>
      </c>
      <c r="F118" s="22">
        <v>3</v>
      </c>
      <c r="G118" s="22">
        <v>51.996000000000002</v>
      </c>
      <c r="H118" s="22">
        <f t="shared" si="27"/>
        <v>0.98008970299170117</v>
      </c>
      <c r="I118" s="5">
        <f t="shared" si="20"/>
        <v>0.38734806629834256</v>
      </c>
      <c r="J118" s="12"/>
      <c r="K118" s="13"/>
      <c r="L118" s="33"/>
    </row>
    <row r="119" spans="1:12" s="1" customFormat="1" x14ac:dyDescent="0.3">
      <c r="A119" s="23" t="s">
        <v>11</v>
      </c>
      <c r="B119" s="23" t="s">
        <v>12</v>
      </c>
      <c r="C119" s="23">
        <v>0.2</v>
      </c>
      <c r="D119" s="23">
        <v>0.61499999999999999</v>
      </c>
      <c r="E119" s="23">
        <v>1.66</v>
      </c>
      <c r="F119" s="23">
        <v>3</v>
      </c>
      <c r="G119" s="23">
        <v>51.996000000000002</v>
      </c>
      <c r="H119" s="23">
        <f t="shared" si="27"/>
        <v>0.98091002518232795</v>
      </c>
      <c r="I119" s="5">
        <f t="shared" si="20"/>
        <v>0.38618784530386735</v>
      </c>
      <c r="J119" s="12">
        <v>900.3</v>
      </c>
      <c r="K119" s="13">
        <v>30.83</v>
      </c>
      <c r="L119" s="33"/>
    </row>
    <row r="120" spans="1:12" s="1" customFormat="1" x14ac:dyDescent="0.3">
      <c r="A120" s="22" t="s">
        <v>11</v>
      </c>
      <c r="B120" s="22" t="s">
        <v>12</v>
      </c>
      <c r="C120" s="22">
        <v>0.22</v>
      </c>
      <c r="D120" s="22">
        <v>0.61499999999999999</v>
      </c>
      <c r="E120" s="22">
        <v>1.66</v>
      </c>
      <c r="F120" s="22">
        <v>3</v>
      </c>
      <c r="G120" s="22">
        <v>51.996000000000002</v>
      </c>
      <c r="H120" s="22">
        <f t="shared" si="27"/>
        <v>0.98173172172103451</v>
      </c>
      <c r="I120" s="5">
        <f t="shared" si="20"/>
        <v>0.38502762430939225</v>
      </c>
      <c r="J120" s="12"/>
      <c r="K120" s="13"/>
      <c r="L120" s="33"/>
    </row>
    <row r="121" spans="1:12" s="1" customFormat="1" x14ac:dyDescent="0.3">
      <c r="A121" s="22" t="s">
        <v>11</v>
      </c>
      <c r="B121" s="22" t="s">
        <v>12</v>
      </c>
      <c r="C121" s="22">
        <v>0.24</v>
      </c>
      <c r="D121" s="22">
        <v>0.61499999999999999</v>
      </c>
      <c r="E121" s="22">
        <v>1.66</v>
      </c>
      <c r="F121" s="22">
        <v>3</v>
      </c>
      <c r="G121" s="22">
        <v>51.996000000000002</v>
      </c>
      <c r="H121" s="22">
        <f t="shared" si="27"/>
        <v>0.98255479606454044</v>
      </c>
      <c r="I121" s="5">
        <f t="shared" ref="I121:I184" si="28">((1-C121)*0.72+D121*C121)/1.81</f>
        <v>0.38386740331491709</v>
      </c>
      <c r="J121" s="12"/>
      <c r="K121" s="13"/>
      <c r="L121" s="33"/>
    </row>
    <row r="122" spans="1:12" s="1" customFormat="1" x14ac:dyDescent="0.3">
      <c r="A122" s="22" t="s">
        <v>11</v>
      </c>
      <c r="B122" s="22" t="s">
        <v>12</v>
      </c>
      <c r="C122" s="22">
        <v>0.26</v>
      </c>
      <c r="D122" s="22">
        <v>0.61499999999999999</v>
      </c>
      <c r="E122" s="22">
        <v>1.66</v>
      </c>
      <c r="F122" s="22">
        <v>3</v>
      </c>
      <c r="G122" s="22">
        <v>51.996000000000002</v>
      </c>
      <c r="H122" s="22">
        <f t="shared" si="27"/>
        <v>0.9833792516811688</v>
      </c>
      <c r="I122" s="5">
        <f t="shared" si="28"/>
        <v>0.38270718232044199</v>
      </c>
      <c r="J122" s="12"/>
      <c r="K122" s="13"/>
      <c r="L122" s="33"/>
    </row>
    <row r="123" spans="1:12" s="1" customFormat="1" x14ac:dyDescent="0.3">
      <c r="A123" s="22" t="s">
        <v>11</v>
      </c>
      <c r="B123" s="22" t="s">
        <v>12</v>
      </c>
      <c r="C123" s="22">
        <v>0.28000000000000003</v>
      </c>
      <c r="D123" s="22">
        <v>0.61499999999999999</v>
      </c>
      <c r="E123" s="22">
        <v>1.66</v>
      </c>
      <c r="F123" s="22">
        <v>3</v>
      </c>
      <c r="G123" s="22">
        <v>51.996000000000002</v>
      </c>
      <c r="H123" s="22">
        <f t="shared" si="27"/>
        <v>0.98420509205089213</v>
      </c>
      <c r="I123" s="5">
        <f t="shared" si="28"/>
        <v>0.38154696132596683</v>
      </c>
      <c r="J123" s="12"/>
      <c r="K123" s="13"/>
      <c r="L123" s="33"/>
    </row>
    <row r="124" spans="1:12" s="1" customFormat="1" x14ac:dyDescent="0.3">
      <c r="A124" s="22" t="s">
        <v>11</v>
      </c>
      <c r="B124" s="22" t="s">
        <v>12</v>
      </c>
      <c r="C124" s="22">
        <v>0.3</v>
      </c>
      <c r="D124" s="22">
        <v>0.61499999999999999</v>
      </c>
      <c r="E124" s="22">
        <v>1.66</v>
      </c>
      <c r="F124" s="22">
        <v>3</v>
      </c>
      <c r="G124" s="22">
        <v>51.996000000000002</v>
      </c>
      <c r="H124" s="22">
        <f t="shared" si="27"/>
        <v>0.98503232066538371</v>
      </c>
      <c r="I124" s="5">
        <f t="shared" si="28"/>
        <v>0.38038674033149172</v>
      </c>
      <c r="J124" s="12"/>
      <c r="K124" s="13"/>
      <c r="L124" s="33"/>
    </row>
    <row r="125" spans="1:12" s="1" customFormat="1" x14ac:dyDescent="0.3">
      <c r="A125" s="22" t="s">
        <v>11</v>
      </c>
      <c r="B125" s="22" t="s">
        <v>12</v>
      </c>
      <c r="C125" s="22">
        <v>0.32</v>
      </c>
      <c r="D125" s="22">
        <v>0.61499999999999999</v>
      </c>
      <c r="E125" s="22">
        <v>1.66</v>
      </c>
      <c r="F125" s="22">
        <v>3</v>
      </c>
      <c r="G125" s="22">
        <v>51.996000000000002</v>
      </c>
      <c r="H125" s="22">
        <f t="shared" si="27"/>
        <v>0.98586094102806487</v>
      </c>
      <c r="I125" s="5">
        <f t="shared" si="28"/>
        <v>0.37922651933701651</v>
      </c>
      <c r="J125" s="12"/>
      <c r="K125" s="13"/>
      <c r="L125" s="33"/>
    </row>
    <row r="126" spans="1:12" s="1" customFormat="1" x14ac:dyDescent="0.3">
      <c r="A126" s="22" t="s">
        <v>11</v>
      </c>
      <c r="B126" s="22" t="s">
        <v>12</v>
      </c>
      <c r="C126" s="22">
        <v>0.34</v>
      </c>
      <c r="D126" s="22">
        <v>0.61499999999999999</v>
      </c>
      <c r="E126" s="22">
        <v>1.66</v>
      </c>
      <c r="F126" s="22">
        <v>3</v>
      </c>
      <c r="G126" s="22">
        <v>51.996000000000002</v>
      </c>
      <c r="H126" s="22">
        <f t="shared" si="27"/>
        <v>0.98669095665415596</v>
      </c>
      <c r="I126" s="5">
        <f t="shared" si="28"/>
        <v>0.37806629834254135</v>
      </c>
      <c r="J126" s="12"/>
      <c r="K126" s="13"/>
      <c r="L126" s="33"/>
    </row>
    <row r="127" spans="1:12" s="1" customFormat="1" x14ac:dyDescent="0.3">
      <c r="A127" s="22" t="s">
        <v>11</v>
      </c>
      <c r="B127" s="22" t="s">
        <v>12</v>
      </c>
      <c r="C127" s="22">
        <v>0.36</v>
      </c>
      <c r="D127" s="22">
        <v>0.61499999999999999</v>
      </c>
      <c r="E127" s="22">
        <v>1.66</v>
      </c>
      <c r="F127" s="22">
        <v>3</v>
      </c>
      <c r="G127" s="22">
        <v>51.996000000000002</v>
      </c>
      <c r="H127" s="22">
        <f t="shared" si="27"/>
        <v>0.98752237107072516</v>
      </c>
      <c r="I127" s="5">
        <f t="shared" si="28"/>
        <v>0.37690607734806625</v>
      </c>
      <c r="J127" s="12"/>
      <c r="K127" s="13"/>
      <c r="L127" s="33"/>
    </row>
    <row r="128" spans="1:12" s="1" customFormat="1" x14ac:dyDescent="0.3">
      <c r="A128" s="22" t="s">
        <v>11</v>
      </c>
      <c r="B128" s="22" t="s">
        <v>12</v>
      </c>
      <c r="C128" s="22">
        <v>0.38</v>
      </c>
      <c r="D128" s="22">
        <v>0.61499999999999999</v>
      </c>
      <c r="E128" s="22">
        <v>1.66</v>
      </c>
      <c r="F128" s="22">
        <v>3</v>
      </c>
      <c r="G128" s="22">
        <v>51.996000000000002</v>
      </c>
      <c r="H128" s="22">
        <f t="shared" ref="H128:H146" si="29">(1.67+1.81)/(1.414*(1.81+(1-C128)*0.72+D128*C128))</f>
        <v>0.98835518781673881</v>
      </c>
      <c r="I128" s="5">
        <f t="shared" si="28"/>
        <v>0.37574585635359109</v>
      </c>
      <c r="J128" s="12"/>
      <c r="K128" s="13"/>
      <c r="L128" s="33"/>
    </row>
    <row r="129" spans="1:12" s="1" customFormat="1" x14ac:dyDescent="0.3">
      <c r="A129" s="23" t="s">
        <v>11</v>
      </c>
      <c r="B129" s="23" t="s">
        <v>12</v>
      </c>
      <c r="C129" s="23">
        <v>0.4</v>
      </c>
      <c r="D129" s="23">
        <v>0.61499999999999999</v>
      </c>
      <c r="E129" s="23">
        <v>1.66</v>
      </c>
      <c r="F129" s="23">
        <v>3</v>
      </c>
      <c r="G129" s="23">
        <v>51.996000000000002</v>
      </c>
      <c r="H129" s="23">
        <f t="shared" si="29"/>
        <v>0.98918941044311137</v>
      </c>
      <c r="I129" s="5">
        <f t="shared" si="28"/>
        <v>0.37458563535911599</v>
      </c>
      <c r="J129" s="12">
        <v>893.9</v>
      </c>
      <c r="K129" s="13">
        <v>24.81</v>
      </c>
      <c r="L129" s="34"/>
    </row>
    <row r="130" spans="1:12" s="1" customFormat="1" x14ac:dyDescent="0.3">
      <c r="A130" s="23" t="s">
        <v>16</v>
      </c>
      <c r="B130" s="23" t="s">
        <v>17</v>
      </c>
      <c r="C130" s="23">
        <v>0.05</v>
      </c>
      <c r="D130" s="23">
        <v>0.83</v>
      </c>
      <c r="E130" s="23">
        <v>1.55</v>
      </c>
      <c r="F130" s="23">
        <v>2</v>
      </c>
      <c r="G130" s="23">
        <v>54.94</v>
      </c>
      <c r="H130" s="23">
        <f t="shared" si="29"/>
        <v>0.97065795826561285</v>
      </c>
      <c r="I130" s="5">
        <f t="shared" si="28"/>
        <v>0.40082872928176788</v>
      </c>
      <c r="J130" s="12">
        <v>444.2</v>
      </c>
      <c r="K130" s="13">
        <v>12.6</v>
      </c>
      <c r="L130" s="35" t="s">
        <v>18</v>
      </c>
    </row>
    <row r="131" spans="1:12" s="1" customFormat="1" x14ac:dyDescent="0.3">
      <c r="A131" s="22" t="s">
        <v>16</v>
      </c>
      <c r="B131" s="22" t="s">
        <v>17</v>
      </c>
      <c r="C131" s="22">
        <v>0.06</v>
      </c>
      <c r="D131" s="22">
        <v>0.83</v>
      </c>
      <c r="E131" s="22">
        <v>1.55</v>
      </c>
      <c r="F131" s="22">
        <v>2</v>
      </c>
      <c r="G131" s="22">
        <v>54.94</v>
      </c>
      <c r="H131" s="22">
        <f t="shared" si="29"/>
        <v>0.97023703113713677</v>
      </c>
      <c r="I131" s="5">
        <f t="shared" si="28"/>
        <v>0.40143646408839773</v>
      </c>
      <c r="J131" s="12"/>
      <c r="K131" s="13"/>
      <c r="L131" s="35"/>
    </row>
    <row r="132" spans="1:12" s="1" customFormat="1" x14ac:dyDescent="0.3">
      <c r="A132" s="22" t="s">
        <v>16</v>
      </c>
      <c r="B132" s="22" t="s">
        <v>17</v>
      </c>
      <c r="C132" s="22">
        <v>7.0000000000000007E-2</v>
      </c>
      <c r="D132" s="22">
        <v>0.83</v>
      </c>
      <c r="E132" s="22">
        <v>1.55</v>
      </c>
      <c r="F132" s="22">
        <v>2</v>
      </c>
      <c r="G132" s="22">
        <v>54.94</v>
      </c>
      <c r="H132" s="22">
        <f t="shared" si="29"/>
        <v>0.96981646892164608</v>
      </c>
      <c r="I132" s="5">
        <f t="shared" si="28"/>
        <v>0.40204419889502763</v>
      </c>
      <c r="J132" s="12"/>
      <c r="K132" s="13"/>
      <c r="L132" s="35"/>
    </row>
    <row r="133" spans="1:12" s="1" customFormat="1" x14ac:dyDescent="0.3">
      <c r="A133" s="22" t="s">
        <v>16</v>
      </c>
      <c r="B133" s="22" t="s">
        <v>17</v>
      </c>
      <c r="C133" s="22">
        <v>0.08</v>
      </c>
      <c r="D133" s="22">
        <v>0.83</v>
      </c>
      <c r="E133" s="22">
        <v>1.55</v>
      </c>
      <c r="F133" s="22">
        <v>2</v>
      </c>
      <c r="G133" s="22">
        <v>54.94</v>
      </c>
      <c r="H133" s="22">
        <f t="shared" si="29"/>
        <v>0.96939627114481697</v>
      </c>
      <c r="I133" s="5">
        <f t="shared" si="28"/>
        <v>0.40265193370165747</v>
      </c>
      <c r="J133" s="12"/>
      <c r="K133" s="13"/>
      <c r="L133" s="35"/>
    </row>
    <row r="134" spans="1:12" s="1" customFormat="1" x14ac:dyDescent="0.3">
      <c r="A134" s="22" t="s">
        <v>16</v>
      </c>
      <c r="B134" s="22" t="s">
        <v>17</v>
      </c>
      <c r="C134" s="22">
        <v>0.09</v>
      </c>
      <c r="D134" s="22">
        <v>0.83</v>
      </c>
      <c r="E134" s="22">
        <v>1.55</v>
      </c>
      <c r="F134" s="22">
        <v>2</v>
      </c>
      <c r="G134" s="22">
        <v>54.94</v>
      </c>
      <c r="H134" s="22">
        <f t="shared" si="29"/>
        <v>0.96897643733314731</v>
      </c>
      <c r="I134" s="5">
        <f t="shared" si="28"/>
        <v>0.40325966850828726</v>
      </c>
      <c r="J134" s="12"/>
      <c r="K134" s="13"/>
      <c r="L134" s="35"/>
    </row>
    <row r="135" spans="1:12" s="1" customFormat="1" x14ac:dyDescent="0.3">
      <c r="A135" s="23" t="s">
        <v>16</v>
      </c>
      <c r="B135" s="23" t="s">
        <v>17</v>
      </c>
      <c r="C135" s="23">
        <v>0.1</v>
      </c>
      <c r="D135" s="23">
        <v>0.83</v>
      </c>
      <c r="E135" s="23">
        <v>1.55</v>
      </c>
      <c r="F135" s="23">
        <v>2</v>
      </c>
      <c r="G135" s="23">
        <v>54.94</v>
      </c>
      <c r="H135" s="23">
        <f t="shared" si="29"/>
        <v>0.96855696701395544</v>
      </c>
      <c r="I135" s="5">
        <f t="shared" si="28"/>
        <v>0.40386740331491711</v>
      </c>
      <c r="J135" s="12">
        <v>444.6</v>
      </c>
      <c r="K135" s="13">
        <v>12.8</v>
      </c>
      <c r="L135" s="36"/>
    </row>
    <row r="136" spans="1:12" s="1" customFormat="1" x14ac:dyDescent="0.3">
      <c r="A136" s="22" t="s">
        <v>16</v>
      </c>
      <c r="B136" s="22" t="s">
        <v>17</v>
      </c>
      <c r="C136" s="22">
        <v>0.12</v>
      </c>
      <c r="D136" s="22">
        <v>0.83</v>
      </c>
      <c r="E136" s="22">
        <v>1.55</v>
      </c>
      <c r="F136" s="22">
        <v>2</v>
      </c>
      <c r="G136" s="22">
        <v>54.94</v>
      </c>
      <c r="H136" s="22">
        <f t="shared" si="29"/>
        <v>0.96771911496636565</v>
      </c>
      <c r="I136" s="5">
        <f t="shared" si="28"/>
        <v>0.40508287292817674</v>
      </c>
      <c r="J136" s="12"/>
      <c r="K136" s="13"/>
      <c r="L136" s="36"/>
    </row>
    <row r="137" spans="1:12" s="1" customFormat="1" x14ac:dyDescent="0.3">
      <c r="A137" s="22" t="s">
        <v>16</v>
      </c>
      <c r="B137" s="22" t="s">
        <v>17</v>
      </c>
      <c r="C137" s="22">
        <v>0.14000000000000001</v>
      </c>
      <c r="D137" s="22">
        <v>0.83</v>
      </c>
      <c r="E137" s="22">
        <v>1.55</v>
      </c>
      <c r="F137" s="22">
        <v>2</v>
      </c>
      <c r="G137" s="22">
        <v>54.94</v>
      </c>
      <c r="H137" s="22">
        <f t="shared" si="29"/>
        <v>0.96688271123692193</v>
      </c>
      <c r="I137" s="5">
        <f t="shared" si="28"/>
        <v>0.40629834254143643</v>
      </c>
      <c r="J137" s="12"/>
      <c r="K137" s="13"/>
      <c r="L137" s="36"/>
    </row>
    <row r="138" spans="1:12" s="1" customFormat="1" x14ac:dyDescent="0.3">
      <c r="A138" s="22" t="s">
        <v>16</v>
      </c>
      <c r="B138" s="22" t="s">
        <v>17</v>
      </c>
      <c r="C138" s="22">
        <v>0.16</v>
      </c>
      <c r="D138" s="22">
        <v>0.83</v>
      </c>
      <c r="E138" s="22">
        <v>1.55</v>
      </c>
      <c r="F138" s="22">
        <v>2</v>
      </c>
      <c r="G138" s="22">
        <v>54.94</v>
      </c>
      <c r="H138" s="22">
        <f t="shared" si="29"/>
        <v>0.96604775207350491</v>
      </c>
      <c r="I138" s="5">
        <f t="shared" si="28"/>
        <v>0.40751381215469612</v>
      </c>
      <c r="J138" s="12"/>
      <c r="K138" s="13"/>
      <c r="L138" s="36"/>
    </row>
    <row r="139" spans="1:12" s="1" customFormat="1" x14ac:dyDescent="0.3">
      <c r="A139" s="22" t="s">
        <v>16</v>
      </c>
      <c r="B139" s="22" t="s">
        <v>17</v>
      </c>
      <c r="C139" s="22">
        <v>0.18</v>
      </c>
      <c r="D139" s="22">
        <v>0.83</v>
      </c>
      <c r="E139" s="22">
        <v>1.55</v>
      </c>
      <c r="F139" s="22">
        <v>2</v>
      </c>
      <c r="G139" s="22">
        <v>54.94</v>
      </c>
      <c r="H139" s="22">
        <f t="shared" si="29"/>
        <v>0.96521423373694448</v>
      </c>
      <c r="I139" s="5">
        <f t="shared" si="28"/>
        <v>0.40872928176795581</v>
      </c>
      <c r="J139" s="12"/>
      <c r="K139" s="13"/>
      <c r="L139" s="36"/>
    </row>
    <row r="140" spans="1:12" s="1" customFormat="1" x14ac:dyDescent="0.3">
      <c r="A140" s="23" t="s">
        <v>16</v>
      </c>
      <c r="B140" s="23" t="s">
        <v>17</v>
      </c>
      <c r="C140" s="23">
        <v>0.2</v>
      </c>
      <c r="D140" s="23">
        <v>0.83</v>
      </c>
      <c r="E140" s="23">
        <v>1.55</v>
      </c>
      <c r="F140" s="23">
        <v>2</v>
      </c>
      <c r="G140" s="23">
        <v>54.94</v>
      </c>
      <c r="H140" s="23">
        <f t="shared" si="29"/>
        <v>0.96438215250096448</v>
      </c>
      <c r="I140" s="5">
        <f t="shared" si="28"/>
        <v>0.40994475138121544</v>
      </c>
      <c r="J140" s="12">
        <v>444.8</v>
      </c>
      <c r="K140" s="13">
        <v>13</v>
      </c>
      <c r="L140" s="36"/>
    </row>
    <row r="141" spans="1:12" s="1" customFormat="1" x14ac:dyDescent="0.3">
      <c r="A141" s="22" t="s">
        <v>16</v>
      </c>
      <c r="B141" s="22" t="s">
        <v>17</v>
      </c>
      <c r="C141" s="22">
        <v>0.22</v>
      </c>
      <c r="D141" s="22">
        <v>0.83</v>
      </c>
      <c r="E141" s="22">
        <v>1.55</v>
      </c>
      <c r="F141" s="22">
        <v>2</v>
      </c>
      <c r="G141" s="22">
        <v>54.94</v>
      </c>
      <c r="H141" s="22">
        <f t="shared" si="29"/>
        <v>0.96355150465212647</v>
      </c>
      <c r="I141" s="5">
        <f t="shared" si="28"/>
        <v>0.41116022099447513</v>
      </c>
      <c r="J141" s="12"/>
      <c r="K141" s="13"/>
      <c r="L141" s="36"/>
    </row>
    <row r="142" spans="1:12" s="1" customFormat="1" x14ac:dyDescent="0.3">
      <c r="A142" s="22" t="s">
        <v>16</v>
      </c>
      <c r="B142" s="22" t="s">
        <v>17</v>
      </c>
      <c r="C142" s="22">
        <v>0.24</v>
      </c>
      <c r="D142" s="22">
        <v>0.83</v>
      </c>
      <c r="E142" s="22">
        <v>1.55</v>
      </c>
      <c r="F142" s="22">
        <v>2</v>
      </c>
      <c r="G142" s="22">
        <v>54.94</v>
      </c>
      <c r="H142" s="22">
        <f t="shared" si="29"/>
        <v>0.9627222864897752</v>
      </c>
      <c r="I142" s="5">
        <f t="shared" si="28"/>
        <v>0.41237569060773477</v>
      </c>
      <c r="J142" s="12"/>
      <c r="K142" s="13"/>
      <c r="L142" s="36"/>
    </row>
    <row r="143" spans="1:12" s="1" customFormat="1" x14ac:dyDescent="0.3">
      <c r="A143" s="22" t="s">
        <v>16</v>
      </c>
      <c r="B143" s="22" t="s">
        <v>17</v>
      </c>
      <c r="C143" s="22">
        <v>0.26</v>
      </c>
      <c r="D143" s="22">
        <v>0.83</v>
      </c>
      <c r="E143" s="22">
        <v>1.55</v>
      </c>
      <c r="F143" s="22">
        <v>2</v>
      </c>
      <c r="G143" s="22">
        <v>54.94</v>
      </c>
      <c r="H143" s="22">
        <f t="shared" si="29"/>
        <v>0.9618944943259834</v>
      </c>
      <c r="I143" s="5">
        <f t="shared" si="28"/>
        <v>0.4135911602209944</v>
      </c>
      <c r="J143" s="12"/>
      <c r="K143" s="13"/>
      <c r="L143" s="36"/>
    </row>
    <row r="144" spans="1:12" s="1" customFormat="1" x14ac:dyDescent="0.3">
      <c r="A144" s="22" t="s">
        <v>16</v>
      </c>
      <c r="B144" s="22" t="s">
        <v>17</v>
      </c>
      <c r="C144" s="22">
        <v>0.28000000000000003</v>
      </c>
      <c r="D144" s="22">
        <v>0.83</v>
      </c>
      <c r="E144" s="22">
        <v>1.55</v>
      </c>
      <c r="F144" s="22">
        <v>2</v>
      </c>
      <c r="G144" s="22">
        <v>54.94</v>
      </c>
      <c r="H144" s="22">
        <f t="shared" si="29"/>
        <v>0.96106812448549706</v>
      </c>
      <c r="I144" s="5">
        <f t="shared" si="28"/>
        <v>0.41480662983425415</v>
      </c>
      <c r="J144" s="12"/>
      <c r="K144" s="13"/>
      <c r="L144" s="36"/>
    </row>
    <row r="145" spans="1:12" s="1" customFormat="1" x14ac:dyDescent="0.3">
      <c r="A145" s="22" t="s">
        <v>16</v>
      </c>
      <c r="B145" s="22" t="s">
        <v>17</v>
      </c>
      <c r="C145" s="22">
        <v>0.3</v>
      </c>
      <c r="D145" s="22">
        <v>0.83</v>
      </c>
      <c r="E145" s="22">
        <v>1.55</v>
      </c>
      <c r="F145" s="22">
        <v>2</v>
      </c>
      <c r="G145" s="22">
        <v>54.94</v>
      </c>
      <c r="H145" s="22">
        <f t="shared" si="29"/>
        <v>0.96024317330568121</v>
      </c>
      <c r="I145" s="5">
        <f t="shared" si="28"/>
        <v>0.41602209944751378</v>
      </c>
      <c r="J145" s="12"/>
      <c r="K145" s="13"/>
      <c r="L145" s="36"/>
    </row>
    <row r="146" spans="1:12" s="1" customFormat="1" x14ac:dyDescent="0.3">
      <c r="A146" s="22" t="s">
        <v>16</v>
      </c>
      <c r="B146" s="22" t="s">
        <v>17</v>
      </c>
      <c r="C146" s="22">
        <v>0.32</v>
      </c>
      <c r="D146" s="22">
        <v>0.83</v>
      </c>
      <c r="E146" s="22">
        <v>1.55</v>
      </c>
      <c r="F146" s="22">
        <v>2</v>
      </c>
      <c r="G146" s="22">
        <v>54.94</v>
      </c>
      <c r="H146" s="22">
        <f t="shared" si="29"/>
        <v>0.9594196371364655</v>
      </c>
      <c r="I146" s="5">
        <f t="shared" si="28"/>
        <v>0.41723756906077342</v>
      </c>
      <c r="J146" s="12"/>
      <c r="K146" s="13"/>
      <c r="L146" s="36"/>
    </row>
    <row r="147" spans="1:12" s="1" customFormat="1" x14ac:dyDescent="0.3">
      <c r="A147" s="22" t="s">
        <v>16</v>
      </c>
      <c r="B147" s="22" t="s">
        <v>17</v>
      </c>
      <c r="C147" s="22">
        <v>0.34</v>
      </c>
      <c r="D147" s="22">
        <v>0.83</v>
      </c>
      <c r="E147" s="22">
        <v>1.55</v>
      </c>
      <c r="F147" s="22">
        <v>2</v>
      </c>
      <c r="G147" s="22">
        <v>54.94</v>
      </c>
      <c r="H147" s="22">
        <f t="shared" ref="H147:H168" si="30">(1.67+1.81)/(1.414*(1.81+(1-C147)*0.72+D147*C147))</f>
        <v>0.95859751234029023</v>
      </c>
      <c r="I147" s="5">
        <f t="shared" si="28"/>
        <v>0.41845303867403305</v>
      </c>
      <c r="J147" s="12"/>
      <c r="K147" s="13"/>
      <c r="L147" s="36"/>
    </row>
    <row r="148" spans="1:12" s="1" customFormat="1" x14ac:dyDescent="0.3">
      <c r="A148" s="22" t="s">
        <v>16</v>
      </c>
      <c r="B148" s="22" t="s">
        <v>17</v>
      </c>
      <c r="C148" s="22">
        <v>0.36</v>
      </c>
      <c r="D148" s="22">
        <v>0.83</v>
      </c>
      <c r="E148" s="22">
        <v>1.55</v>
      </c>
      <c r="F148" s="22">
        <v>2</v>
      </c>
      <c r="G148" s="22">
        <v>54.94</v>
      </c>
      <c r="H148" s="22">
        <f t="shared" si="30"/>
        <v>0.95777679529205384</v>
      </c>
      <c r="I148" s="5">
        <f t="shared" si="28"/>
        <v>0.4196685082872928</v>
      </c>
      <c r="J148" s="12"/>
      <c r="K148" s="13"/>
      <c r="L148" s="36"/>
    </row>
    <row r="149" spans="1:12" s="1" customFormat="1" x14ac:dyDescent="0.3">
      <c r="A149" s="22" t="s">
        <v>16</v>
      </c>
      <c r="B149" s="22" t="s">
        <v>17</v>
      </c>
      <c r="C149" s="22">
        <v>0.38</v>
      </c>
      <c r="D149" s="22">
        <v>0.83</v>
      </c>
      <c r="E149" s="22">
        <v>1.55</v>
      </c>
      <c r="F149" s="22">
        <v>2</v>
      </c>
      <c r="G149" s="22">
        <v>54.94</v>
      </c>
      <c r="H149" s="22">
        <f t="shared" si="30"/>
        <v>0.95695748237905787</v>
      </c>
      <c r="I149" s="5">
        <f t="shared" si="28"/>
        <v>0.42088397790055249</v>
      </c>
      <c r="J149" s="12"/>
      <c r="K149" s="13"/>
      <c r="L149" s="36"/>
    </row>
    <row r="150" spans="1:12" s="1" customFormat="1" x14ac:dyDescent="0.3">
      <c r="A150" s="23" t="s">
        <v>16</v>
      </c>
      <c r="B150" s="23" t="s">
        <v>17</v>
      </c>
      <c r="C150" s="23">
        <v>0.4</v>
      </c>
      <c r="D150" s="23">
        <v>0.83</v>
      </c>
      <c r="E150" s="23">
        <v>1.55</v>
      </c>
      <c r="F150" s="23">
        <v>2</v>
      </c>
      <c r="G150" s="23">
        <v>54.94</v>
      </c>
      <c r="H150" s="23">
        <f t="shared" si="30"/>
        <v>0.95613957000095628</v>
      </c>
      <c r="I150" s="5">
        <f t="shared" si="28"/>
        <v>0.42209944751381218</v>
      </c>
      <c r="J150" s="12">
        <v>444.9</v>
      </c>
      <c r="K150" s="13">
        <v>12.9</v>
      </c>
      <c r="L150" s="36"/>
    </row>
    <row r="151" spans="1:12" s="1" customFormat="1" x14ac:dyDescent="0.3">
      <c r="A151" s="23" t="s">
        <v>19</v>
      </c>
      <c r="B151" s="23" t="s">
        <v>20</v>
      </c>
      <c r="C151" s="23">
        <v>0.03</v>
      </c>
      <c r="D151" s="23">
        <v>0.65</v>
      </c>
      <c r="E151" s="23">
        <v>2.16</v>
      </c>
      <c r="F151" s="23">
        <v>4</v>
      </c>
      <c r="G151" s="23">
        <v>95.95</v>
      </c>
      <c r="H151" s="23">
        <f t="shared" si="30"/>
        <v>0.97357619098162962</v>
      </c>
      <c r="I151" s="5">
        <f t="shared" si="28"/>
        <v>0.39662983425414355</v>
      </c>
      <c r="J151" s="12">
        <v>911</v>
      </c>
      <c r="K151" s="13">
        <v>11.6</v>
      </c>
      <c r="L151" s="35" t="s">
        <v>21</v>
      </c>
    </row>
    <row r="152" spans="1:12" s="1" customFormat="1" x14ac:dyDescent="0.3">
      <c r="A152" s="22" t="s">
        <v>19</v>
      </c>
      <c r="B152" s="22" t="s">
        <v>20</v>
      </c>
      <c r="C152" s="22">
        <v>0.04</v>
      </c>
      <c r="D152" s="22">
        <v>0.65</v>
      </c>
      <c r="E152" s="22">
        <v>2.16</v>
      </c>
      <c r="F152" s="22">
        <v>4</v>
      </c>
      <c r="G152" s="22">
        <v>95.95</v>
      </c>
      <c r="H152" s="22">
        <f t="shared" si="30"/>
        <v>0.97384585833430737</v>
      </c>
      <c r="I152" s="5">
        <f t="shared" si="28"/>
        <v>0.39624309392265189</v>
      </c>
      <c r="J152" s="12"/>
      <c r="K152" s="13"/>
      <c r="L152" s="35"/>
    </row>
    <row r="153" spans="1:12" s="1" customFormat="1" x14ac:dyDescent="0.3">
      <c r="A153" s="22" t="s">
        <v>19</v>
      </c>
      <c r="B153" s="22" t="s">
        <v>20</v>
      </c>
      <c r="C153" s="22">
        <v>0.06</v>
      </c>
      <c r="D153" s="22">
        <v>0.65</v>
      </c>
      <c r="E153" s="22">
        <v>2.16</v>
      </c>
      <c r="F153" s="22">
        <v>4</v>
      </c>
      <c r="G153" s="22">
        <v>95.95</v>
      </c>
      <c r="H153" s="22">
        <f t="shared" si="30"/>
        <v>0.97438564145318751</v>
      </c>
      <c r="I153" s="5">
        <f t="shared" si="28"/>
        <v>0.39546961325966851</v>
      </c>
      <c r="J153" s="12"/>
      <c r="K153" s="13"/>
      <c r="L153" s="35"/>
    </row>
    <row r="154" spans="1:12" s="1" customFormat="1" x14ac:dyDescent="0.3">
      <c r="A154" s="22" t="s">
        <v>19</v>
      </c>
      <c r="B154" s="22" t="s">
        <v>20</v>
      </c>
      <c r="C154" s="22">
        <v>0.08</v>
      </c>
      <c r="D154" s="22">
        <v>0.65</v>
      </c>
      <c r="E154" s="22">
        <v>2.16</v>
      </c>
      <c r="F154" s="22">
        <v>4</v>
      </c>
      <c r="G154" s="22">
        <v>95.95</v>
      </c>
      <c r="H154" s="22">
        <f t="shared" si="30"/>
        <v>0.97492602328571598</v>
      </c>
      <c r="I154" s="5">
        <f t="shared" si="28"/>
        <v>0.39469613259668507</v>
      </c>
      <c r="J154" s="12"/>
      <c r="K154" s="13"/>
      <c r="L154" s="35"/>
    </row>
    <row r="155" spans="1:12" s="1" customFormat="1" x14ac:dyDescent="0.3">
      <c r="A155" s="22" t="s">
        <v>19</v>
      </c>
      <c r="B155" s="22" t="s">
        <v>20</v>
      </c>
      <c r="C155" s="22">
        <v>0.1</v>
      </c>
      <c r="D155" s="22">
        <v>0.65</v>
      </c>
      <c r="E155" s="22">
        <v>2.16</v>
      </c>
      <c r="F155" s="22">
        <v>4</v>
      </c>
      <c r="G155" s="22">
        <v>95.95</v>
      </c>
      <c r="H155" s="22">
        <f t="shared" si="30"/>
        <v>0.97546700482856175</v>
      </c>
      <c r="I155" s="5">
        <f t="shared" si="28"/>
        <v>0.39392265193370168</v>
      </c>
      <c r="J155" s="12"/>
      <c r="K155" s="13"/>
      <c r="L155" s="35"/>
    </row>
    <row r="156" spans="1:12" s="1" customFormat="1" x14ac:dyDescent="0.3">
      <c r="A156" s="22" t="s">
        <v>19</v>
      </c>
      <c r="B156" s="22" t="s">
        <v>20</v>
      </c>
      <c r="C156" s="22">
        <v>0.12</v>
      </c>
      <c r="D156" s="22">
        <v>0.65</v>
      </c>
      <c r="E156" s="22">
        <v>2.16</v>
      </c>
      <c r="F156" s="22">
        <v>4</v>
      </c>
      <c r="G156" s="22">
        <v>95.95</v>
      </c>
      <c r="H156" s="22">
        <f t="shared" si="30"/>
        <v>0.97600858708060811</v>
      </c>
      <c r="I156" s="5">
        <f t="shared" si="28"/>
        <v>0.39314917127071819</v>
      </c>
      <c r="J156" s="12"/>
      <c r="K156" s="13"/>
      <c r="L156" s="35"/>
    </row>
    <row r="157" spans="1:12" s="1" customFormat="1" x14ac:dyDescent="0.3">
      <c r="A157" s="22" t="s">
        <v>19</v>
      </c>
      <c r="B157" s="22" t="s">
        <v>20</v>
      </c>
      <c r="C157" s="22">
        <v>0.14000000000000001</v>
      </c>
      <c r="D157" s="22">
        <v>0.65</v>
      </c>
      <c r="E157" s="22">
        <v>2.16</v>
      </c>
      <c r="F157" s="22">
        <v>4</v>
      </c>
      <c r="G157" s="22">
        <v>95.95</v>
      </c>
      <c r="H157" s="22">
        <f t="shared" si="30"/>
        <v>0.9765507710429574</v>
      </c>
      <c r="I157" s="5">
        <f t="shared" si="28"/>
        <v>0.39237569060773475</v>
      </c>
      <c r="J157" s="12"/>
      <c r="K157" s="13"/>
      <c r="L157" s="35"/>
    </row>
    <row r="158" spans="1:12" s="1" customFormat="1" x14ac:dyDescent="0.3">
      <c r="A158" s="23" t="s">
        <v>19</v>
      </c>
      <c r="B158" s="23" t="s">
        <v>20</v>
      </c>
      <c r="C158" s="23">
        <v>0.15</v>
      </c>
      <c r="D158" s="23">
        <v>0.65</v>
      </c>
      <c r="E158" s="23">
        <v>2.16</v>
      </c>
      <c r="F158" s="23">
        <v>4</v>
      </c>
      <c r="G158" s="23">
        <v>95.95</v>
      </c>
      <c r="H158" s="23">
        <f t="shared" si="30"/>
        <v>0.97682208897894851</v>
      </c>
      <c r="I158" s="5">
        <f t="shared" si="28"/>
        <v>0.39198895027624309</v>
      </c>
      <c r="J158" s="12">
        <v>917</v>
      </c>
      <c r="K158" s="13">
        <v>9.8000000000000007</v>
      </c>
      <c r="L158" s="36"/>
    </row>
    <row r="159" spans="1:12" s="1" customFormat="1" x14ac:dyDescent="0.3">
      <c r="A159" s="22" t="s">
        <v>19</v>
      </c>
      <c r="B159" s="22" t="s">
        <v>20</v>
      </c>
      <c r="C159" s="22">
        <v>0.16</v>
      </c>
      <c r="D159" s="22">
        <v>0.65</v>
      </c>
      <c r="E159" s="22">
        <v>2.16</v>
      </c>
      <c r="F159" s="22">
        <v>4</v>
      </c>
      <c r="G159" s="22">
        <v>95.95</v>
      </c>
      <c r="H159" s="22">
        <f t="shared" si="30"/>
        <v>0.97709355771893802</v>
      </c>
      <c r="I159" s="5">
        <f t="shared" si="28"/>
        <v>0.39160220994475137</v>
      </c>
      <c r="J159" s="12"/>
      <c r="K159" s="13"/>
      <c r="L159" s="36"/>
    </row>
    <row r="160" spans="1:12" s="1" customFormat="1" x14ac:dyDescent="0.3">
      <c r="A160" s="22" t="s">
        <v>19</v>
      </c>
      <c r="B160" s="22" t="s">
        <v>20</v>
      </c>
      <c r="C160" s="22">
        <v>0.2</v>
      </c>
      <c r="D160" s="22">
        <v>0.65</v>
      </c>
      <c r="E160" s="22">
        <v>2.16</v>
      </c>
      <c r="F160" s="22">
        <v>4</v>
      </c>
      <c r="G160" s="22">
        <v>95.95</v>
      </c>
      <c r="H160" s="22">
        <f t="shared" si="30"/>
        <v>0.97818094323627236</v>
      </c>
      <c r="I160" s="5">
        <f t="shared" si="28"/>
        <v>0.39005524861878449</v>
      </c>
      <c r="J160" s="12"/>
      <c r="K160" s="13"/>
      <c r="L160" s="36"/>
    </row>
    <row r="161" spans="1:12" s="1" customFormat="1" x14ac:dyDescent="0.3">
      <c r="A161" s="22" t="s">
        <v>19</v>
      </c>
      <c r="B161" s="22" t="s">
        <v>20</v>
      </c>
      <c r="C161" s="22">
        <v>0.24</v>
      </c>
      <c r="D161" s="22">
        <v>0.65</v>
      </c>
      <c r="E161" s="22">
        <v>2.16</v>
      </c>
      <c r="F161" s="22">
        <v>4</v>
      </c>
      <c r="G161" s="22">
        <v>95.95</v>
      </c>
      <c r="H161" s="22">
        <f t="shared" si="30"/>
        <v>0.97927075170398725</v>
      </c>
      <c r="I161" s="5">
        <f t="shared" si="28"/>
        <v>0.38850828729281767</v>
      </c>
      <c r="J161" s="12"/>
      <c r="K161" s="13"/>
      <c r="L161" s="36"/>
    </row>
    <row r="162" spans="1:12" s="1" customFormat="1" x14ac:dyDescent="0.3">
      <c r="A162" s="22" t="s">
        <v>19</v>
      </c>
      <c r="B162" s="22" t="s">
        <v>20</v>
      </c>
      <c r="C162" s="22">
        <v>0.28000000000000003</v>
      </c>
      <c r="D162" s="22">
        <v>0.65</v>
      </c>
      <c r="E162" s="22">
        <v>2.16</v>
      </c>
      <c r="F162" s="22">
        <v>4</v>
      </c>
      <c r="G162" s="22">
        <v>95.95</v>
      </c>
      <c r="H162" s="22">
        <f t="shared" si="30"/>
        <v>0.98036299122946979</v>
      </c>
      <c r="I162" s="5">
        <f t="shared" si="28"/>
        <v>0.38696132596685084</v>
      </c>
      <c r="J162" s="12"/>
      <c r="K162" s="13"/>
      <c r="L162" s="36"/>
    </row>
    <row r="163" spans="1:12" s="1" customFormat="1" x14ac:dyDescent="0.3">
      <c r="A163" s="22" t="s">
        <v>19</v>
      </c>
      <c r="B163" s="22" t="s">
        <v>20</v>
      </c>
      <c r="C163" s="22">
        <v>0.32</v>
      </c>
      <c r="D163" s="22">
        <v>0.65</v>
      </c>
      <c r="E163" s="22">
        <v>2.16</v>
      </c>
      <c r="F163" s="22">
        <v>4</v>
      </c>
      <c r="G163" s="22">
        <v>95.95</v>
      </c>
      <c r="H163" s="22">
        <f t="shared" si="30"/>
        <v>0.98145766995631722</v>
      </c>
      <c r="I163" s="5">
        <f t="shared" si="28"/>
        <v>0.38541436464088397</v>
      </c>
      <c r="J163" s="12"/>
      <c r="K163" s="13"/>
      <c r="L163" s="36"/>
    </row>
    <row r="164" spans="1:12" s="1" customFormat="1" x14ac:dyDescent="0.3">
      <c r="A164" s="22" t="s">
        <v>19</v>
      </c>
      <c r="B164" s="22" t="s">
        <v>20</v>
      </c>
      <c r="C164" s="22">
        <v>0.36</v>
      </c>
      <c r="D164" s="22">
        <v>0.65</v>
      </c>
      <c r="E164" s="22">
        <v>2.16</v>
      </c>
      <c r="F164" s="22">
        <v>4</v>
      </c>
      <c r="G164" s="22">
        <v>95.95</v>
      </c>
      <c r="H164" s="22">
        <f t="shared" si="30"/>
        <v>0.98255479606454066</v>
      </c>
      <c r="I164" s="5">
        <f t="shared" si="28"/>
        <v>0.38386740331491709</v>
      </c>
      <c r="J164" s="12"/>
      <c r="K164" s="13"/>
      <c r="L164" s="36"/>
    </row>
    <row r="165" spans="1:12" s="1" customFormat="1" x14ac:dyDescent="0.3">
      <c r="A165" s="22" t="s">
        <v>19</v>
      </c>
      <c r="B165" s="22" t="s">
        <v>20</v>
      </c>
      <c r="C165" s="22">
        <v>0.4</v>
      </c>
      <c r="D165" s="22">
        <v>0.65</v>
      </c>
      <c r="E165" s="22">
        <v>2.16</v>
      </c>
      <c r="F165" s="22">
        <v>4</v>
      </c>
      <c r="G165" s="22">
        <v>95.95</v>
      </c>
      <c r="H165" s="22">
        <f t="shared" si="30"/>
        <v>0.98365437777076803</v>
      </c>
      <c r="I165" s="5">
        <f t="shared" si="28"/>
        <v>0.38232044198895021</v>
      </c>
      <c r="J165" s="12"/>
      <c r="K165" s="13"/>
      <c r="L165" s="36"/>
    </row>
    <row r="166" spans="1:12" s="1" customFormat="1" x14ac:dyDescent="0.3">
      <c r="A166" s="22" t="s">
        <v>19</v>
      </c>
      <c r="B166" s="22" t="s">
        <v>20</v>
      </c>
      <c r="C166" s="22">
        <v>0.44</v>
      </c>
      <c r="D166" s="22">
        <v>0.65</v>
      </c>
      <c r="E166" s="22">
        <v>2.16</v>
      </c>
      <c r="F166" s="22">
        <v>4</v>
      </c>
      <c r="G166" s="22">
        <v>95.95</v>
      </c>
      <c r="H166" s="22">
        <f t="shared" si="30"/>
        <v>0.98475642332844948</v>
      </c>
      <c r="I166" s="5">
        <f t="shared" si="28"/>
        <v>0.38077348066298344</v>
      </c>
      <c r="J166" s="12"/>
      <c r="K166" s="13"/>
      <c r="L166" s="36"/>
    </row>
    <row r="167" spans="1:12" s="1" customFormat="1" x14ac:dyDescent="0.3">
      <c r="A167" s="22" t="s">
        <v>19</v>
      </c>
      <c r="B167" s="22" t="s">
        <v>20</v>
      </c>
      <c r="C167" s="22">
        <v>0.48</v>
      </c>
      <c r="D167" s="22">
        <v>0.65</v>
      </c>
      <c r="E167" s="22">
        <v>2.16</v>
      </c>
      <c r="F167" s="22">
        <v>4</v>
      </c>
      <c r="G167" s="22">
        <v>95.95</v>
      </c>
      <c r="H167" s="22">
        <f t="shared" si="30"/>
        <v>0.98586094102806487</v>
      </c>
      <c r="I167" s="5">
        <f t="shared" si="28"/>
        <v>0.37922651933701657</v>
      </c>
      <c r="J167" s="12"/>
      <c r="K167" s="13"/>
      <c r="L167" s="36"/>
    </row>
    <row r="168" spans="1:12" s="1" customFormat="1" x14ac:dyDescent="0.3">
      <c r="A168" s="23" t="s">
        <v>19</v>
      </c>
      <c r="B168" s="23" t="s">
        <v>20</v>
      </c>
      <c r="C168" s="23">
        <v>0.5</v>
      </c>
      <c r="D168" s="23">
        <v>0.65</v>
      </c>
      <c r="E168" s="23">
        <v>2.16</v>
      </c>
      <c r="F168" s="23">
        <v>4</v>
      </c>
      <c r="G168" s="23">
        <v>95.95</v>
      </c>
      <c r="H168" s="23">
        <f t="shared" si="30"/>
        <v>0.98641412953204854</v>
      </c>
      <c r="I168" s="5">
        <f t="shared" si="28"/>
        <v>0.37845303867403318</v>
      </c>
      <c r="J168" s="12">
        <v>921</v>
      </c>
      <c r="K168" s="13">
        <v>4.3</v>
      </c>
      <c r="L168" s="36"/>
    </row>
    <row r="169" spans="1:12" s="1" customFormat="1" x14ac:dyDescent="0.3">
      <c r="A169" s="21" t="s">
        <v>5</v>
      </c>
      <c r="B169" s="21" t="s">
        <v>6</v>
      </c>
      <c r="C169" s="21">
        <v>0</v>
      </c>
      <c r="D169" s="21">
        <v>1.03</v>
      </c>
      <c r="E169" s="21">
        <v>2.02</v>
      </c>
      <c r="F169" s="21">
        <v>3</v>
      </c>
      <c r="G169" s="21">
        <v>208.98</v>
      </c>
      <c r="H169" s="21">
        <f t="shared" ref="H169:H170" si="31">(1.67+1.81)/(1.414*(1.81+(1-C169)*0.72+D169*C169))</f>
        <v>0.97276808426184236</v>
      </c>
      <c r="I169" s="5">
        <f t="shared" si="28"/>
        <v>0.39779005524861877</v>
      </c>
      <c r="J169" s="6">
        <v>465</v>
      </c>
      <c r="K169" s="7">
        <v>1.78</v>
      </c>
      <c r="L169" s="32" t="s">
        <v>24</v>
      </c>
    </row>
    <row r="170" spans="1:12" s="1" customFormat="1" x14ac:dyDescent="0.3">
      <c r="A170" s="5" t="s">
        <v>5</v>
      </c>
      <c r="B170" s="5" t="s">
        <v>6</v>
      </c>
      <c r="C170" s="5">
        <v>5.0000000000000001E-3</v>
      </c>
      <c r="D170" s="5">
        <v>1.03</v>
      </c>
      <c r="E170" s="5">
        <v>2.02</v>
      </c>
      <c r="F170" s="5">
        <v>3</v>
      </c>
      <c r="G170" s="5">
        <v>208.98</v>
      </c>
      <c r="H170" s="5">
        <f t="shared" si="31"/>
        <v>0.9721724845183628</v>
      </c>
      <c r="I170" s="5">
        <f t="shared" si="28"/>
        <v>0.39864640883977892</v>
      </c>
      <c r="J170" s="6"/>
      <c r="K170" s="7"/>
      <c r="L170" s="33"/>
    </row>
    <row r="171" spans="1:12" s="1" customFormat="1" x14ac:dyDescent="0.3">
      <c r="A171" s="5" t="s">
        <v>5</v>
      </c>
      <c r="B171" s="5" t="s">
        <v>6</v>
      </c>
      <c r="C171" s="5">
        <v>0.01</v>
      </c>
      <c r="D171" s="5">
        <v>1.03</v>
      </c>
      <c r="E171" s="5">
        <v>2.02</v>
      </c>
      <c r="F171" s="5">
        <v>3</v>
      </c>
      <c r="G171" s="5">
        <v>208.98</v>
      </c>
      <c r="H171" s="5">
        <f t="shared" ref="H171" si="32">(1.67+1.81)/(1.414*(1.81+(1-C171)*0.72+D171*C171))</f>
        <v>0.97157761366801987</v>
      </c>
      <c r="I171" s="5">
        <f t="shared" si="28"/>
        <v>0.39950276243093918</v>
      </c>
      <c r="J171" s="6"/>
      <c r="K171" s="7"/>
      <c r="L171" s="33"/>
    </row>
    <row r="172" spans="1:12" s="1" customFormat="1" x14ac:dyDescent="0.3">
      <c r="A172" s="5" t="s">
        <v>5</v>
      </c>
      <c r="B172" s="5" t="s">
        <v>6</v>
      </c>
      <c r="C172" s="5">
        <v>1.4E-2</v>
      </c>
      <c r="D172" s="5">
        <v>1.03</v>
      </c>
      <c r="E172" s="5">
        <v>2.02</v>
      </c>
      <c r="F172" s="5">
        <v>3</v>
      </c>
      <c r="G172" s="5">
        <v>208.98</v>
      </c>
      <c r="H172" s="5">
        <f t="shared" ref="H172" si="33">(1.67+1.81)/(1.414*(1.81+(1-C172)*0.72+D172*C172))</f>
        <v>0.97110224089209085</v>
      </c>
      <c r="I172" s="5">
        <f t="shared" si="28"/>
        <v>0.40018784530386736</v>
      </c>
      <c r="J172" s="6"/>
      <c r="K172" s="7"/>
      <c r="L172" s="33"/>
    </row>
    <row r="173" spans="1:12" s="1" customFormat="1" x14ac:dyDescent="0.3">
      <c r="A173" s="5" t="s">
        <v>5</v>
      </c>
      <c r="B173" s="5" t="s">
        <v>6</v>
      </c>
      <c r="C173" s="5">
        <v>1.7999999999999999E-2</v>
      </c>
      <c r="D173" s="5">
        <v>1.03</v>
      </c>
      <c r="E173" s="5">
        <v>2.02</v>
      </c>
      <c r="F173" s="5">
        <v>3</v>
      </c>
      <c r="G173" s="5">
        <v>208.98</v>
      </c>
      <c r="H173" s="5">
        <f t="shared" ref="H173" si="34">(1.67+1.81)/(1.414*(1.81+(1-C173)*0.72+D173*C173))</f>
        <v>0.97062733306875004</v>
      </c>
      <c r="I173" s="5">
        <f t="shared" si="28"/>
        <v>0.4008729281767956</v>
      </c>
      <c r="J173" s="6"/>
      <c r="K173" s="7"/>
      <c r="L173" s="33"/>
    </row>
    <row r="174" spans="1:12" s="1" customFormat="1" x14ac:dyDescent="0.3">
      <c r="A174" s="21" t="s">
        <v>5</v>
      </c>
      <c r="B174" s="21" t="s">
        <v>6</v>
      </c>
      <c r="C174" s="21">
        <v>0.02</v>
      </c>
      <c r="D174" s="21">
        <v>1.03</v>
      </c>
      <c r="E174" s="21">
        <v>2.02</v>
      </c>
      <c r="F174" s="21">
        <v>3</v>
      </c>
      <c r="G174" s="21">
        <v>208.98</v>
      </c>
      <c r="H174" s="21">
        <f t="shared" ref="H174:H204" si="35">(1.67+1.81)/(1.414*(1.81+(1-C174)*0.72+D174*C174))</f>
        <v>0.97039005330118344</v>
      </c>
      <c r="I174" s="5">
        <f t="shared" si="28"/>
        <v>0.40121546961325966</v>
      </c>
      <c r="J174" s="6">
        <v>465</v>
      </c>
      <c r="K174" s="7"/>
      <c r="L174" s="33"/>
    </row>
    <row r="175" spans="1:12" s="1" customFormat="1" x14ac:dyDescent="0.3">
      <c r="A175" s="5" t="s">
        <v>5</v>
      </c>
      <c r="B175" s="5" t="s">
        <v>6</v>
      </c>
      <c r="C175" s="5">
        <v>2.4E-2</v>
      </c>
      <c r="D175" s="5">
        <v>1.03</v>
      </c>
      <c r="E175" s="5">
        <v>2.02</v>
      </c>
      <c r="F175" s="5">
        <v>3</v>
      </c>
      <c r="G175" s="5">
        <v>208.98</v>
      </c>
      <c r="H175" s="5">
        <f t="shared" si="35"/>
        <v>0.96991584162875244</v>
      </c>
      <c r="I175" s="5">
        <f t="shared" si="28"/>
        <v>0.40190055248618783</v>
      </c>
      <c r="J175" s="6"/>
      <c r="K175" s="7"/>
      <c r="L175" s="33"/>
    </row>
    <row r="176" spans="1:12" s="1" customFormat="1" x14ac:dyDescent="0.3">
      <c r="A176" s="5" t="s">
        <v>5</v>
      </c>
      <c r="B176" s="5" t="s">
        <v>6</v>
      </c>
      <c r="C176" s="5">
        <v>2.8000000000000001E-2</v>
      </c>
      <c r="D176" s="5">
        <v>1.03</v>
      </c>
      <c r="E176" s="5">
        <v>2.02</v>
      </c>
      <c r="F176" s="5">
        <v>3</v>
      </c>
      <c r="G176" s="5">
        <v>208.98</v>
      </c>
      <c r="H176" s="5">
        <f t="shared" si="35"/>
        <v>0.96944209320688746</v>
      </c>
      <c r="I176" s="5">
        <f t="shared" si="28"/>
        <v>0.40258563535911596</v>
      </c>
      <c r="J176" s="6"/>
      <c r="K176" s="7"/>
      <c r="L176" s="33"/>
    </row>
    <row r="177" spans="1:12" s="1" customFormat="1" x14ac:dyDescent="0.3">
      <c r="A177" s="5" t="s">
        <v>5</v>
      </c>
      <c r="B177" s="5" t="s">
        <v>6</v>
      </c>
      <c r="C177" s="5">
        <v>3.2000000000000001E-2</v>
      </c>
      <c r="D177" s="5">
        <v>1.03</v>
      </c>
      <c r="E177" s="5">
        <v>2.02</v>
      </c>
      <c r="F177" s="5">
        <v>3</v>
      </c>
      <c r="G177" s="5">
        <v>208.98</v>
      </c>
      <c r="H177" s="5">
        <f t="shared" si="35"/>
        <v>0.96896880735710622</v>
      </c>
      <c r="I177" s="5">
        <f t="shared" si="28"/>
        <v>0.40327071823204413</v>
      </c>
      <c r="J177" s="6"/>
      <c r="K177" s="7"/>
      <c r="L177" s="33"/>
    </row>
    <row r="178" spans="1:12" s="1" customFormat="1" x14ac:dyDescent="0.3">
      <c r="A178" s="5" t="s">
        <v>5</v>
      </c>
      <c r="B178" s="5" t="s">
        <v>6</v>
      </c>
      <c r="C178" s="5">
        <v>3.5999999999999997E-2</v>
      </c>
      <c r="D178" s="5">
        <v>1.03</v>
      </c>
      <c r="E178" s="5">
        <v>2.02</v>
      </c>
      <c r="F178" s="5">
        <v>3</v>
      </c>
      <c r="G178" s="5">
        <v>208.98</v>
      </c>
      <c r="H178" s="5">
        <f t="shared" ref="H178" si="36">(1.67+1.81)/(1.414*(1.81+(1-C178)*0.72+D178*C178))</f>
        <v>0.96849598340224985</v>
      </c>
      <c r="I178" s="5">
        <f t="shared" si="28"/>
        <v>0.40395580110497231</v>
      </c>
      <c r="J178" s="6"/>
      <c r="K178" s="7"/>
      <c r="L178" s="33"/>
    </row>
    <row r="179" spans="1:12" s="1" customFormat="1" x14ac:dyDescent="0.3">
      <c r="A179" s="21" t="s">
        <v>5</v>
      </c>
      <c r="B179" s="21" t="s">
        <v>6</v>
      </c>
      <c r="C179" s="21">
        <v>0.04</v>
      </c>
      <c r="D179" s="21">
        <v>1.03</v>
      </c>
      <c r="E179" s="21">
        <v>2.02</v>
      </c>
      <c r="F179" s="21">
        <v>3</v>
      </c>
      <c r="G179" s="21">
        <v>208.98</v>
      </c>
      <c r="H179" s="21">
        <f t="shared" si="35"/>
        <v>0.96802362066648107</v>
      </c>
      <c r="I179" s="5">
        <f t="shared" si="28"/>
        <v>0.40464088397790049</v>
      </c>
      <c r="J179" s="6">
        <v>465</v>
      </c>
      <c r="K179" s="7"/>
      <c r="L179" s="33"/>
    </row>
    <row r="180" spans="1:12" s="1" customFormat="1" x14ac:dyDescent="0.3">
      <c r="A180" s="5" t="s">
        <v>5</v>
      </c>
      <c r="B180" s="5" t="s">
        <v>6</v>
      </c>
      <c r="C180" s="5">
        <v>4.3999999999999997E-2</v>
      </c>
      <c r="D180" s="5">
        <v>1.03</v>
      </c>
      <c r="E180" s="5">
        <v>2.02</v>
      </c>
      <c r="F180" s="5">
        <v>3</v>
      </c>
      <c r="G180" s="5">
        <v>208.98</v>
      </c>
      <c r="H180" s="5">
        <f t="shared" ref="H180:H183" si="37">(1.67+1.81)/(1.414*(1.81+(1-C180)*0.72+D180*C180))</f>
        <v>0.96755171847527999</v>
      </c>
      <c r="I180" s="5">
        <f t="shared" si="28"/>
        <v>0.40532596685082867</v>
      </c>
      <c r="J180" s="6"/>
      <c r="K180" s="7"/>
      <c r="L180" s="33"/>
    </row>
    <row r="181" spans="1:12" s="1" customFormat="1" x14ac:dyDescent="0.3">
      <c r="A181" s="5" t="s">
        <v>5</v>
      </c>
      <c r="B181" s="5" t="s">
        <v>6</v>
      </c>
      <c r="C181" s="5">
        <v>4.8000000000000001E-2</v>
      </c>
      <c r="D181" s="5">
        <v>1.03</v>
      </c>
      <c r="E181" s="5">
        <v>2.02</v>
      </c>
      <c r="F181" s="5">
        <v>3</v>
      </c>
      <c r="G181" s="5">
        <v>208.98</v>
      </c>
      <c r="H181" s="5">
        <f t="shared" si="37"/>
        <v>0.9670802761554419</v>
      </c>
      <c r="I181" s="5">
        <f t="shared" si="28"/>
        <v>0.4060110497237569</v>
      </c>
      <c r="J181" s="6"/>
      <c r="K181" s="7"/>
      <c r="L181" s="33"/>
    </row>
    <row r="182" spans="1:12" s="1" customFormat="1" x14ac:dyDescent="0.3">
      <c r="A182" s="5" t="s">
        <v>5</v>
      </c>
      <c r="B182" s="5" t="s">
        <v>6</v>
      </c>
      <c r="C182" s="5">
        <v>5.1999999999999998E-2</v>
      </c>
      <c r="D182" s="5">
        <v>1.03</v>
      </c>
      <c r="E182" s="5">
        <v>2.02</v>
      </c>
      <c r="F182" s="5">
        <v>3</v>
      </c>
      <c r="G182" s="5">
        <v>208.98</v>
      </c>
      <c r="H182" s="5">
        <f t="shared" si="37"/>
        <v>0.96660929303507337</v>
      </c>
      <c r="I182" s="5">
        <f t="shared" si="28"/>
        <v>0.40669613259668502</v>
      </c>
      <c r="J182" s="6"/>
      <c r="K182" s="7"/>
      <c r="L182" s="33"/>
    </row>
    <row r="183" spans="1:12" s="1" customFormat="1" x14ac:dyDescent="0.3">
      <c r="A183" s="5" t="s">
        <v>5</v>
      </c>
      <c r="B183" s="5" t="s">
        <v>6</v>
      </c>
      <c r="C183" s="5">
        <v>5.6000000000000001E-2</v>
      </c>
      <c r="D183" s="5">
        <v>1.03</v>
      </c>
      <c r="E183" s="5">
        <v>2.02</v>
      </c>
      <c r="F183" s="5">
        <v>3</v>
      </c>
      <c r="G183" s="5">
        <v>208.98</v>
      </c>
      <c r="H183" s="5">
        <f t="shared" si="37"/>
        <v>0.96613876844358926</v>
      </c>
      <c r="I183" s="5">
        <f t="shared" si="28"/>
        <v>0.4073812154696132</v>
      </c>
      <c r="J183" s="6"/>
      <c r="K183" s="7"/>
      <c r="L183" s="33"/>
    </row>
    <row r="184" spans="1:12" s="1" customFormat="1" x14ac:dyDescent="0.3">
      <c r="A184" s="21" t="s">
        <v>5</v>
      </c>
      <c r="B184" s="21" t="s">
        <v>6</v>
      </c>
      <c r="C184" s="21">
        <v>0.06</v>
      </c>
      <c r="D184" s="21">
        <v>1.03</v>
      </c>
      <c r="E184" s="21">
        <v>2.02</v>
      </c>
      <c r="F184" s="21">
        <v>3</v>
      </c>
      <c r="G184" s="21">
        <v>208.98</v>
      </c>
      <c r="H184" s="21">
        <f t="shared" si="35"/>
        <v>0.96566870171170882</v>
      </c>
      <c r="I184" s="5">
        <f t="shared" si="28"/>
        <v>0.40806629834254138</v>
      </c>
      <c r="J184" s="6">
        <v>465</v>
      </c>
      <c r="K184" s="7">
        <v>2.08</v>
      </c>
      <c r="L184" s="33"/>
    </row>
    <row r="185" spans="1:12" s="1" customFormat="1" x14ac:dyDescent="0.3">
      <c r="A185" s="5" t="s">
        <v>5</v>
      </c>
      <c r="B185" s="5" t="s">
        <v>6</v>
      </c>
      <c r="C185" s="5">
        <v>6.2E-2</v>
      </c>
      <c r="D185" s="5">
        <v>1.03</v>
      </c>
      <c r="E185" s="5">
        <v>2.02</v>
      </c>
      <c r="F185" s="5">
        <v>3</v>
      </c>
      <c r="G185" s="5">
        <v>208.98</v>
      </c>
      <c r="H185" s="5">
        <f t="shared" si="35"/>
        <v>0.96543383983432618</v>
      </c>
      <c r="I185" s="5">
        <f t="shared" ref="I185:I205" si="38">((1-C185)*0.72+D185*C185)/1.81</f>
        <v>0.40840883977900549</v>
      </c>
      <c r="J185" s="6"/>
      <c r="K185" s="7"/>
      <c r="L185" s="33"/>
    </row>
    <row r="186" spans="1:12" s="1" customFormat="1" x14ac:dyDescent="0.3">
      <c r="A186" s="5" t="s">
        <v>5</v>
      </c>
      <c r="B186" s="5" t="s">
        <v>6</v>
      </c>
      <c r="C186" s="5">
        <v>6.4000000000000001E-2</v>
      </c>
      <c r="D186" s="5">
        <v>1.03</v>
      </c>
      <c r="E186" s="5">
        <v>2.02</v>
      </c>
      <c r="F186" s="5">
        <v>3</v>
      </c>
      <c r="G186" s="5">
        <v>208.98</v>
      </c>
      <c r="H186" s="5">
        <f t="shared" si="35"/>
        <v>0.96519909217145439</v>
      </c>
      <c r="I186" s="5">
        <f t="shared" si="38"/>
        <v>0.40875138121546956</v>
      </c>
      <c r="J186" s="6"/>
      <c r="K186" s="7"/>
      <c r="L186" s="33"/>
    </row>
    <row r="187" spans="1:12" s="1" customFormat="1" x14ac:dyDescent="0.3">
      <c r="A187" s="5" t="s">
        <v>5</v>
      </c>
      <c r="B187" s="5" t="s">
        <v>6</v>
      </c>
      <c r="C187" s="5">
        <v>6.6000000000000003E-2</v>
      </c>
      <c r="D187" s="5">
        <v>1.03</v>
      </c>
      <c r="E187" s="5">
        <v>2.02</v>
      </c>
      <c r="F187" s="5">
        <v>3</v>
      </c>
      <c r="G187" s="5">
        <v>208.98</v>
      </c>
      <c r="H187" s="5">
        <f t="shared" si="35"/>
        <v>0.96496445863979885</v>
      </c>
      <c r="I187" s="5">
        <f t="shared" si="38"/>
        <v>0.40909392265193367</v>
      </c>
      <c r="J187" s="6"/>
      <c r="K187" s="7"/>
      <c r="L187" s="33"/>
    </row>
    <row r="188" spans="1:12" s="1" customFormat="1" x14ac:dyDescent="0.3">
      <c r="A188" s="5" t="s">
        <v>5</v>
      </c>
      <c r="B188" s="5" t="s">
        <v>6</v>
      </c>
      <c r="C188" s="5">
        <v>6.8000000000000005E-2</v>
      </c>
      <c r="D188" s="5">
        <v>1.03</v>
      </c>
      <c r="E188" s="5">
        <v>2.02</v>
      </c>
      <c r="F188" s="5">
        <v>3</v>
      </c>
      <c r="G188" s="5">
        <v>208.98</v>
      </c>
      <c r="H188" s="5">
        <f t="shared" si="35"/>
        <v>0.96472993915614602</v>
      </c>
      <c r="I188" s="5">
        <f t="shared" si="38"/>
        <v>0.40943646408839773</v>
      </c>
      <c r="J188" s="6"/>
      <c r="K188" s="7"/>
      <c r="L188" s="33"/>
    </row>
    <row r="189" spans="1:12" s="1" customFormat="1" x14ac:dyDescent="0.3">
      <c r="A189" s="5" t="s">
        <v>5</v>
      </c>
      <c r="B189" s="5" t="s">
        <v>6</v>
      </c>
      <c r="C189" s="5">
        <v>7.0000000000000007E-2</v>
      </c>
      <c r="D189" s="5">
        <v>1.03</v>
      </c>
      <c r="E189" s="5">
        <v>2.02</v>
      </c>
      <c r="F189" s="5">
        <v>3</v>
      </c>
      <c r="G189" s="5">
        <v>208.98</v>
      </c>
      <c r="H189" s="5">
        <f t="shared" si="35"/>
        <v>0.96449553363736396</v>
      </c>
      <c r="I189" s="5">
        <f t="shared" si="38"/>
        <v>0.40977900552486191</v>
      </c>
      <c r="J189" s="6"/>
      <c r="K189" s="7"/>
      <c r="L189" s="33"/>
    </row>
    <row r="190" spans="1:12" s="1" customFormat="1" x14ac:dyDescent="0.3">
      <c r="A190" s="5" t="s">
        <v>5</v>
      </c>
      <c r="B190" s="5" t="s">
        <v>6</v>
      </c>
      <c r="C190" s="5">
        <v>7.1999999999999995E-2</v>
      </c>
      <c r="D190" s="5">
        <v>1.03</v>
      </c>
      <c r="E190" s="5">
        <v>2.02</v>
      </c>
      <c r="F190" s="5">
        <v>3</v>
      </c>
      <c r="G190" s="5">
        <v>208.98</v>
      </c>
      <c r="H190" s="5">
        <f t="shared" si="35"/>
        <v>0.9642612420004002</v>
      </c>
      <c r="I190" s="5">
        <f t="shared" si="38"/>
        <v>0.41012154696132597</v>
      </c>
      <c r="J190" s="6"/>
      <c r="K190" s="7"/>
      <c r="L190" s="33"/>
    </row>
    <row r="191" spans="1:12" s="1" customFormat="1" x14ac:dyDescent="0.3">
      <c r="A191" s="5" t="s">
        <v>5</v>
      </c>
      <c r="B191" s="5" t="s">
        <v>6</v>
      </c>
      <c r="C191" s="5">
        <v>7.3999999999999996E-2</v>
      </c>
      <c r="D191" s="5">
        <v>1.03</v>
      </c>
      <c r="E191" s="5">
        <v>2.02</v>
      </c>
      <c r="F191" s="5">
        <v>3</v>
      </c>
      <c r="G191" s="5">
        <v>208.98</v>
      </c>
      <c r="H191" s="5">
        <f t="shared" si="35"/>
        <v>0.9640270641622839</v>
      </c>
      <c r="I191" s="5">
        <f t="shared" si="38"/>
        <v>0.41046408839779003</v>
      </c>
      <c r="J191" s="6"/>
      <c r="K191" s="7"/>
      <c r="L191" s="33"/>
    </row>
    <row r="192" spans="1:12" s="1" customFormat="1" x14ac:dyDescent="0.3">
      <c r="A192" s="5" t="s">
        <v>5</v>
      </c>
      <c r="B192" s="5" t="s">
        <v>6</v>
      </c>
      <c r="C192" s="5">
        <v>7.5999999999999998E-2</v>
      </c>
      <c r="D192" s="5">
        <v>1.03</v>
      </c>
      <c r="E192" s="5">
        <v>2.02</v>
      </c>
      <c r="F192" s="5">
        <v>3</v>
      </c>
      <c r="G192" s="5">
        <v>208.98</v>
      </c>
      <c r="H192" s="5">
        <f t="shared" si="35"/>
        <v>0.9637930000401248</v>
      </c>
      <c r="I192" s="5">
        <f t="shared" si="38"/>
        <v>0.41080662983425414</v>
      </c>
      <c r="J192" s="6"/>
      <c r="K192" s="7"/>
      <c r="L192" s="33"/>
    </row>
    <row r="193" spans="1:1729" s="1" customFormat="1" x14ac:dyDescent="0.3">
      <c r="A193" s="5" t="s">
        <v>5</v>
      </c>
      <c r="B193" s="5" t="s">
        <v>6</v>
      </c>
      <c r="C193" s="5">
        <v>7.8E-2</v>
      </c>
      <c r="D193" s="5">
        <v>1.03</v>
      </c>
      <c r="E193" s="5">
        <v>2.02</v>
      </c>
      <c r="F193" s="5">
        <v>3</v>
      </c>
      <c r="G193" s="5">
        <v>208.98</v>
      </c>
      <c r="H193" s="5">
        <f t="shared" si="35"/>
        <v>0.96355904955111271</v>
      </c>
      <c r="I193" s="5">
        <f t="shared" si="38"/>
        <v>0.41114917127071821</v>
      </c>
      <c r="J193" s="6"/>
      <c r="K193" s="7"/>
      <c r="L193" s="33"/>
    </row>
    <row r="194" spans="1:1729" s="1" customFormat="1" x14ac:dyDescent="0.3">
      <c r="A194" s="21" t="s">
        <v>5</v>
      </c>
      <c r="B194" s="21" t="s">
        <v>6</v>
      </c>
      <c r="C194" s="21">
        <v>0.08</v>
      </c>
      <c r="D194" s="21">
        <v>1.03</v>
      </c>
      <c r="E194" s="21">
        <v>2.02</v>
      </c>
      <c r="F194" s="21">
        <v>3</v>
      </c>
      <c r="G194" s="21">
        <v>208.98</v>
      </c>
      <c r="H194" s="21">
        <f t="shared" si="35"/>
        <v>0.96332521261251813</v>
      </c>
      <c r="I194" s="5">
        <f t="shared" si="38"/>
        <v>0.41149171270718232</v>
      </c>
      <c r="J194" s="6">
        <v>465</v>
      </c>
      <c r="K194" s="7"/>
      <c r="L194" s="33"/>
    </row>
    <row r="195" spans="1:1729" s="1" customFormat="1" x14ac:dyDescent="0.3">
      <c r="A195" s="5" t="s">
        <v>5</v>
      </c>
      <c r="B195" s="5" t="s">
        <v>6</v>
      </c>
      <c r="C195" s="5">
        <v>8.2000000000000003E-2</v>
      </c>
      <c r="D195" s="5">
        <v>1.03</v>
      </c>
      <c r="E195" s="5">
        <v>2.02</v>
      </c>
      <c r="F195" s="5">
        <v>3</v>
      </c>
      <c r="G195" s="5">
        <v>208.98</v>
      </c>
      <c r="H195" s="5">
        <f t="shared" ref="H195:H199" si="39">(1.67+1.81)/(1.414*(1.81+(1-C195)*0.72+D195*C195))</f>
        <v>0.96309148914169151</v>
      </c>
      <c r="I195" s="5">
        <f t="shared" si="38"/>
        <v>0.41183425414364638</v>
      </c>
      <c r="J195" s="6"/>
      <c r="K195" s="7"/>
      <c r="L195" s="33"/>
    </row>
    <row r="196" spans="1:1729" s="1" customFormat="1" x14ac:dyDescent="0.3">
      <c r="A196" s="5" t="s">
        <v>5</v>
      </c>
      <c r="B196" s="5" t="s">
        <v>6</v>
      </c>
      <c r="C196" s="5">
        <v>8.5999999999999993E-2</v>
      </c>
      <c r="D196" s="5">
        <v>1.03</v>
      </c>
      <c r="E196" s="5">
        <v>2.02</v>
      </c>
      <c r="F196" s="5">
        <v>3</v>
      </c>
      <c r="G196" s="5">
        <v>208.98</v>
      </c>
      <c r="H196" s="5">
        <f t="shared" si="39"/>
        <v>0.96262438227314595</v>
      </c>
      <c r="I196" s="5">
        <f t="shared" si="38"/>
        <v>0.41251933701657456</v>
      </c>
      <c r="J196" s="6"/>
      <c r="K196" s="7"/>
      <c r="L196" s="33"/>
    </row>
    <row r="197" spans="1:1729" s="1" customFormat="1" x14ac:dyDescent="0.3">
      <c r="A197" s="5" t="s">
        <v>5</v>
      </c>
      <c r="B197" s="5" t="s">
        <v>6</v>
      </c>
      <c r="C197" s="5">
        <v>0.09</v>
      </c>
      <c r="D197" s="5">
        <v>1.03</v>
      </c>
      <c r="E197" s="5">
        <v>2.02</v>
      </c>
      <c r="F197" s="5">
        <v>3</v>
      </c>
      <c r="G197" s="5">
        <v>208.98</v>
      </c>
      <c r="H197" s="5">
        <f t="shared" si="39"/>
        <v>0.96215772828588342</v>
      </c>
      <c r="I197" s="5">
        <f t="shared" si="38"/>
        <v>0.41320441988950274</v>
      </c>
      <c r="J197" s="6"/>
      <c r="K197" s="7"/>
      <c r="L197" s="33"/>
    </row>
    <row r="198" spans="1:1729" s="1" customFormat="1" x14ac:dyDescent="0.3">
      <c r="A198" s="5" t="s">
        <v>5</v>
      </c>
      <c r="B198" s="5" t="s">
        <v>6</v>
      </c>
      <c r="C198" s="5">
        <v>9.4E-2</v>
      </c>
      <c r="D198" s="5">
        <v>1.03</v>
      </c>
      <c r="E198" s="5">
        <v>2.02</v>
      </c>
      <c r="F198" s="5">
        <v>3</v>
      </c>
      <c r="G198" s="5">
        <v>208.98</v>
      </c>
      <c r="H198" s="5">
        <f t="shared" si="39"/>
        <v>0.96169152652158973</v>
      </c>
      <c r="I198" s="5">
        <f t="shared" si="38"/>
        <v>0.41388950276243092</v>
      </c>
      <c r="J198" s="6"/>
      <c r="K198" s="7"/>
      <c r="L198" s="33"/>
    </row>
    <row r="199" spans="1:1729" s="1" customFormat="1" x14ac:dyDescent="0.3">
      <c r="A199" s="5" t="s">
        <v>5</v>
      </c>
      <c r="B199" s="5" t="s">
        <v>6</v>
      </c>
      <c r="C199" s="5">
        <v>9.8000000000000004E-2</v>
      </c>
      <c r="D199" s="5">
        <v>1.03</v>
      </c>
      <c r="E199" s="5">
        <v>2.02</v>
      </c>
      <c r="F199" s="5">
        <v>3</v>
      </c>
      <c r="G199" s="5">
        <v>208.98</v>
      </c>
      <c r="H199" s="5">
        <f t="shared" si="39"/>
        <v>0.96122577632322592</v>
      </c>
      <c r="I199" s="5">
        <f t="shared" si="38"/>
        <v>0.41457458563535915</v>
      </c>
      <c r="J199" s="6"/>
      <c r="K199" s="7"/>
      <c r="L199" s="33"/>
    </row>
    <row r="200" spans="1:1729" s="1" customFormat="1" x14ac:dyDescent="0.3">
      <c r="A200" s="21" t="s">
        <v>5</v>
      </c>
      <c r="B200" s="21" t="s">
        <v>6</v>
      </c>
      <c r="C200" s="21">
        <v>0.1</v>
      </c>
      <c r="D200" s="21">
        <v>1.03</v>
      </c>
      <c r="E200" s="21">
        <v>2.02</v>
      </c>
      <c r="F200" s="21">
        <v>3</v>
      </c>
      <c r="G200" s="21">
        <v>208.98</v>
      </c>
      <c r="H200" s="21">
        <f t="shared" si="35"/>
        <v>0.96099307035629078</v>
      </c>
      <c r="I200" s="5">
        <f t="shared" si="38"/>
        <v>0.41491712707182321</v>
      </c>
      <c r="J200" s="6">
        <v>465</v>
      </c>
      <c r="K200" s="7"/>
      <c r="L200" s="33"/>
    </row>
    <row r="201" spans="1:1729" s="1" customFormat="1" x14ac:dyDescent="0.3">
      <c r="A201" s="5" t="s">
        <v>5</v>
      </c>
      <c r="B201" s="5" t="s">
        <v>6</v>
      </c>
      <c r="C201" s="5">
        <v>0.104</v>
      </c>
      <c r="D201" s="5">
        <v>1.03</v>
      </c>
      <c r="E201" s="5">
        <v>2.02</v>
      </c>
      <c r="F201" s="5">
        <v>3</v>
      </c>
      <c r="G201" s="5">
        <v>208.98</v>
      </c>
      <c r="H201" s="5">
        <f t="shared" si="35"/>
        <v>0.96052799627765595</v>
      </c>
      <c r="I201" s="5">
        <f t="shared" si="38"/>
        <v>0.41560220994475139</v>
      </c>
      <c r="J201" s="6"/>
      <c r="K201" s="7"/>
      <c r="L201" s="33"/>
    </row>
    <row r="202" spans="1:1729" s="1" customFormat="1" x14ac:dyDescent="0.3">
      <c r="A202" s="5" t="s">
        <v>5</v>
      </c>
      <c r="B202" s="5" t="s">
        <v>6</v>
      </c>
      <c r="C202" s="5">
        <v>0.108</v>
      </c>
      <c r="D202" s="5">
        <v>1.03</v>
      </c>
      <c r="E202" s="5">
        <v>2.02</v>
      </c>
      <c r="F202" s="5">
        <v>3</v>
      </c>
      <c r="G202" s="5">
        <v>208.98</v>
      </c>
      <c r="H202" s="5">
        <f t="shared" si="35"/>
        <v>0.96006337212791237</v>
      </c>
      <c r="I202" s="5">
        <f t="shared" si="38"/>
        <v>0.41628729281767957</v>
      </c>
      <c r="J202" s="6"/>
      <c r="K202" s="7"/>
      <c r="L202" s="33"/>
    </row>
    <row r="203" spans="1:1729" s="1" customFormat="1" x14ac:dyDescent="0.3">
      <c r="A203" s="5" t="s">
        <v>5</v>
      </c>
      <c r="B203" s="5" t="s">
        <v>6</v>
      </c>
      <c r="C203" s="5">
        <v>0.112</v>
      </c>
      <c r="D203" s="5">
        <v>1.03</v>
      </c>
      <c r="E203" s="5">
        <v>2.02</v>
      </c>
      <c r="F203" s="5">
        <v>3</v>
      </c>
      <c r="G203" s="5">
        <v>208.98</v>
      </c>
      <c r="H203" s="5">
        <f t="shared" si="35"/>
        <v>0.95959919725446097</v>
      </c>
      <c r="I203" s="5">
        <f t="shared" si="38"/>
        <v>0.41697237569060774</v>
      </c>
      <c r="J203" s="6"/>
      <c r="K203" s="7"/>
      <c r="L203" s="33"/>
    </row>
    <row r="204" spans="1:1729" s="2" customFormat="1" ht="14" customHeight="1" x14ac:dyDescent="0.3">
      <c r="A204" s="5" t="s">
        <v>5</v>
      </c>
      <c r="B204" s="5" t="s">
        <v>6</v>
      </c>
      <c r="C204" s="5">
        <v>0.11600000000000001</v>
      </c>
      <c r="D204" s="5">
        <v>1.03</v>
      </c>
      <c r="E204" s="5">
        <v>2.02</v>
      </c>
      <c r="F204" s="5">
        <v>3</v>
      </c>
      <c r="G204" s="5">
        <v>208.98</v>
      </c>
      <c r="H204" s="5">
        <f t="shared" si="35"/>
        <v>0.95913547100596319</v>
      </c>
      <c r="I204" s="5">
        <f t="shared" si="38"/>
        <v>0.41765745856353587</v>
      </c>
      <c r="J204" s="6"/>
      <c r="K204" s="7"/>
      <c r="L204" s="33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  <c r="GR204" s="26"/>
      <c r="GS204" s="26"/>
      <c r="GT204" s="26"/>
      <c r="GU204" s="26"/>
      <c r="GV204" s="26"/>
      <c r="GW204" s="26"/>
      <c r="GX204" s="26"/>
      <c r="GY204" s="26"/>
      <c r="GZ204" s="26"/>
      <c r="HA204" s="26"/>
      <c r="HB204" s="26"/>
      <c r="HC204" s="26"/>
      <c r="HD204" s="26"/>
      <c r="HE204" s="26"/>
      <c r="HF204" s="26"/>
      <c r="HG204" s="26"/>
      <c r="HH204" s="26"/>
      <c r="HI204" s="26"/>
      <c r="HJ204" s="26"/>
      <c r="HK204" s="26"/>
      <c r="HL204" s="26"/>
      <c r="HM204" s="26"/>
      <c r="HN204" s="26"/>
      <c r="HO204" s="26"/>
      <c r="HP204" s="26"/>
      <c r="HQ204" s="26"/>
      <c r="HR204" s="26"/>
      <c r="HS204" s="26"/>
      <c r="HT204" s="26"/>
      <c r="HU204" s="26"/>
      <c r="HV204" s="26"/>
      <c r="HW204" s="26"/>
      <c r="HX204" s="26"/>
      <c r="HY204" s="26"/>
      <c r="HZ204" s="26"/>
      <c r="IA204" s="26"/>
      <c r="IB204" s="26"/>
      <c r="IC204" s="26"/>
      <c r="ID204" s="26"/>
      <c r="IE204" s="26"/>
      <c r="IF204" s="26"/>
      <c r="IG204" s="26"/>
      <c r="IH204" s="26"/>
      <c r="II204" s="26"/>
      <c r="IJ204" s="26"/>
      <c r="IK204" s="26"/>
      <c r="IL204" s="26"/>
      <c r="IM204" s="26"/>
      <c r="IN204" s="26"/>
      <c r="IO204" s="26"/>
      <c r="IP204" s="26"/>
      <c r="IQ204" s="26"/>
      <c r="IR204" s="26"/>
      <c r="IS204" s="26"/>
      <c r="IT204" s="26"/>
      <c r="IU204" s="26"/>
      <c r="IV204" s="26"/>
      <c r="IW204" s="26"/>
      <c r="IX204" s="26"/>
      <c r="IY204" s="26"/>
      <c r="IZ204" s="26"/>
      <c r="JA204" s="26"/>
      <c r="JB204" s="26"/>
      <c r="JC204" s="26"/>
      <c r="JD204" s="26"/>
      <c r="JE204" s="26"/>
      <c r="JF204" s="26"/>
      <c r="JG204" s="26"/>
      <c r="JH204" s="26"/>
      <c r="JI204" s="26"/>
      <c r="JJ204" s="26"/>
      <c r="JK204" s="26"/>
      <c r="JL204" s="26"/>
      <c r="JM204" s="26"/>
      <c r="JN204" s="26"/>
      <c r="JO204" s="26"/>
      <c r="JP204" s="26"/>
      <c r="JQ204" s="26"/>
      <c r="JR204" s="26"/>
      <c r="JS204" s="26"/>
      <c r="JT204" s="26"/>
      <c r="JU204" s="26"/>
      <c r="JV204" s="26"/>
      <c r="JW204" s="26"/>
      <c r="JX204" s="26"/>
      <c r="JY204" s="26"/>
      <c r="JZ204" s="26"/>
      <c r="KA204" s="26"/>
      <c r="KB204" s="26"/>
      <c r="KC204" s="26"/>
      <c r="KD204" s="26"/>
      <c r="KE204" s="26"/>
      <c r="KF204" s="26"/>
      <c r="KG204" s="26"/>
      <c r="KH204" s="26"/>
      <c r="KI204" s="26"/>
      <c r="KJ204" s="26"/>
      <c r="KK204" s="26"/>
      <c r="KL204" s="26"/>
      <c r="KM204" s="26"/>
      <c r="KN204" s="26"/>
      <c r="KO204" s="26"/>
      <c r="KP204" s="26"/>
      <c r="KQ204" s="26"/>
      <c r="KR204" s="26"/>
      <c r="KS204" s="26"/>
      <c r="KT204" s="26"/>
      <c r="KU204" s="26"/>
      <c r="KV204" s="26"/>
      <c r="KW204" s="26"/>
      <c r="KX204" s="26"/>
      <c r="KY204" s="26"/>
      <c r="KZ204" s="26"/>
      <c r="LA204" s="26"/>
      <c r="LB204" s="26"/>
      <c r="LC204" s="26"/>
      <c r="LD204" s="26"/>
      <c r="LE204" s="26"/>
      <c r="LF204" s="26"/>
      <c r="LG204" s="26"/>
      <c r="LH204" s="26"/>
      <c r="LI204" s="26"/>
      <c r="LJ204" s="26"/>
      <c r="LK204" s="26"/>
      <c r="LL204" s="26"/>
      <c r="LM204" s="26"/>
      <c r="LN204" s="26"/>
      <c r="LO204" s="26"/>
      <c r="LP204" s="26"/>
      <c r="LQ204" s="26"/>
      <c r="LR204" s="26"/>
      <c r="LS204" s="26"/>
      <c r="LT204" s="26"/>
      <c r="LU204" s="26"/>
      <c r="LV204" s="26"/>
      <c r="LW204" s="26"/>
      <c r="LX204" s="26"/>
      <c r="LY204" s="26"/>
      <c r="LZ204" s="26"/>
      <c r="MA204" s="26"/>
      <c r="MB204" s="26"/>
      <c r="MC204" s="26"/>
      <c r="MD204" s="26"/>
      <c r="ME204" s="26"/>
      <c r="MF204" s="26"/>
      <c r="MG204" s="26"/>
      <c r="MH204" s="26"/>
      <c r="MI204" s="26"/>
      <c r="MJ204" s="26"/>
      <c r="MK204" s="26"/>
      <c r="ML204" s="26"/>
      <c r="MM204" s="26"/>
      <c r="MN204" s="26"/>
      <c r="MO204" s="26"/>
      <c r="MP204" s="26"/>
      <c r="MQ204" s="26"/>
      <c r="MR204" s="26"/>
      <c r="MS204" s="26"/>
      <c r="MT204" s="26"/>
      <c r="MU204" s="26"/>
      <c r="MV204" s="26"/>
      <c r="MW204" s="26"/>
      <c r="MX204" s="26"/>
      <c r="MY204" s="26"/>
      <c r="MZ204" s="26"/>
      <c r="NA204" s="26"/>
      <c r="NB204" s="26"/>
      <c r="NC204" s="26"/>
      <c r="ND204" s="26"/>
      <c r="NE204" s="26"/>
      <c r="NF204" s="26"/>
      <c r="NG204" s="26"/>
      <c r="NH204" s="26"/>
      <c r="NI204" s="26"/>
      <c r="NJ204" s="26"/>
      <c r="NK204" s="26"/>
      <c r="NL204" s="26"/>
      <c r="NM204" s="26"/>
      <c r="NN204" s="26"/>
      <c r="NO204" s="26"/>
      <c r="NP204" s="26"/>
      <c r="NQ204" s="26"/>
      <c r="NR204" s="26"/>
      <c r="NS204" s="26"/>
      <c r="NT204" s="26"/>
      <c r="NU204" s="26"/>
      <c r="NV204" s="26"/>
      <c r="NW204" s="26"/>
      <c r="NX204" s="26"/>
      <c r="NY204" s="26"/>
      <c r="NZ204" s="26"/>
      <c r="OA204" s="26"/>
      <c r="OB204" s="26"/>
      <c r="OC204" s="26"/>
      <c r="OD204" s="26"/>
      <c r="OE204" s="26"/>
      <c r="OF204" s="26"/>
      <c r="OG204" s="26"/>
      <c r="OH204" s="26"/>
      <c r="OI204" s="26"/>
      <c r="OJ204" s="26"/>
      <c r="OK204" s="26"/>
      <c r="OL204" s="26"/>
      <c r="OM204" s="26"/>
      <c r="ON204" s="26"/>
      <c r="OO204" s="26"/>
      <c r="OP204" s="26"/>
      <c r="OQ204" s="26"/>
      <c r="OR204" s="26"/>
      <c r="OS204" s="26"/>
      <c r="OT204" s="26"/>
      <c r="OU204" s="26"/>
      <c r="OV204" s="26"/>
      <c r="OW204" s="26"/>
      <c r="OX204" s="26"/>
      <c r="OY204" s="26"/>
      <c r="OZ204" s="26"/>
      <c r="PA204" s="26"/>
      <c r="PB204" s="26"/>
      <c r="PC204" s="26"/>
      <c r="PD204" s="26"/>
      <c r="PE204" s="26"/>
      <c r="PF204" s="26"/>
      <c r="PG204" s="26"/>
      <c r="PH204" s="26"/>
      <c r="PI204" s="26"/>
      <c r="PJ204" s="26"/>
      <c r="PK204" s="26"/>
      <c r="PL204" s="26"/>
      <c r="PM204" s="26"/>
      <c r="PN204" s="26"/>
      <c r="PO204" s="26"/>
      <c r="PP204" s="26"/>
      <c r="PQ204" s="26"/>
      <c r="PR204" s="26"/>
      <c r="PS204" s="26"/>
      <c r="PT204" s="26"/>
      <c r="PU204" s="26"/>
      <c r="PV204" s="26"/>
      <c r="PW204" s="26"/>
      <c r="PX204" s="26"/>
      <c r="PY204" s="26"/>
      <c r="PZ204" s="26"/>
      <c r="QA204" s="26"/>
      <c r="QB204" s="26"/>
      <c r="QC204" s="26"/>
      <c r="QD204" s="26"/>
      <c r="QE204" s="26"/>
      <c r="QF204" s="26"/>
      <c r="QG204" s="26"/>
      <c r="QH204" s="26"/>
      <c r="QI204" s="26"/>
      <c r="QJ204" s="26"/>
      <c r="QK204" s="26"/>
      <c r="QL204" s="26"/>
      <c r="QM204" s="26"/>
      <c r="QN204" s="26"/>
      <c r="QO204" s="26"/>
      <c r="QP204" s="26"/>
      <c r="QQ204" s="26"/>
      <c r="QR204" s="26"/>
      <c r="QS204" s="26"/>
      <c r="QT204" s="26"/>
      <c r="QU204" s="26"/>
      <c r="QV204" s="26"/>
      <c r="QW204" s="26"/>
      <c r="QX204" s="26"/>
      <c r="QY204" s="26"/>
      <c r="QZ204" s="26"/>
      <c r="RA204" s="26"/>
      <c r="RB204" s="26"/>
      <c r="RC204" s="26"/>
      <c r="RD204" s="26"/>
      <c r="RE204" s="26"/>
      <c r="RF204" s="26"/>
      <c r="RG204" s="26"/>
      <c r="RH204" s="26"/>
      <c r="RI204" s="26"/>
      <c r="RJ204" s="26"/>
      <c r="RK204" s="26"/>
      <c r="RL204" s="26"/>
      <c r="RM204" s="26"/>
      <c r="RN204" s="26"/>
      <c r="RO204" s="26"/>
      <c r="RP204" s="26"/>
      <c r="RQ204" s="26"/>
      <c r="RR204" s="26"/>
      <c r="RS204" s="26"/>
      <c r="RT204" s="26"/>
      <c r="RU204" s="26"/>
      <c r="RV204" s="26"/>
      <c r="RW204" s="26"/>
      <c r="RX204" s="26"/>
      <c r="RY204" s="26"/>
      <c r="RZ204" s="26"/>
      <c r="SA204" s="26"/>
      <c r="SB204" s="26"/>
      <c r="SC204" s="26"/>
      <c r="SD204" s="26"/>
      <c r="SE204" s="26"/>
      <c r="SF204" s="26"/>
      <c r="SG204" s="26"/>
      <c r="SH204" s="26"/>
      <c r="SI204" s="26"/>
      <c r="SJ204" s="26"/>
      <c r="SK204" s="26"/>
      <c r="SL204" s="26"/>
      <c r="SM204" s="26"/>
      <c r="SN204" s="26"/>
      <c r="SO204" s="26"/>
      <c r="SP204" s="26"/>
      <c r="SQ204" s="26"/>
      <c r="SR204" s="26"/>
      <c r="SS204" s="26"/>
      <c r="ST204" s="26"/>
      <c r="SU204" s="26"/>
      <c r="SV204" s="26"/>
      <c r="SW204" s="26"/>
      <c r="SX204" s="26"/>
      <c r="SY204" s="26"/>
      <c r="SZ204" s="26"/>
      <c r="TA204" s="26"/>
      <c r="TB204" s="26"/>
      <c r="TC204" s="26"/>
      <c r="TD204" s="26"/>
      <c r="TE204" s="26"/>
      <c r="TF204" s="26"/>
      <c r="TG204" s="26"/>
      <c r="TH204" s="26"/>
      <c r="TI204" s="26"/>
      <c r="TJ204" s="26"/>
      <c r="TK204" s="26"/>
      <c r="TL204" s="26"/>
      <c r="TM204" s="26"/>
      <c r="TN204" s="26"/>
      <c r="TO204" s="26"/>
      <c r="TP204" s="26"/>
      <c r="TQ204" s="26"/>
      <c r="TR204" s="26"/>
      <c r="TS204" s="26"/>
      <c r="TT204" s="26"/>
      <c r="TU204" s="26"/>
      <c r="TV204" s="26"/>
      <c r="TW204" s="26"/>
      <c r="TX204" s="26"/>
      <c r="TY204" s="26"/>
      <c r="TZ204" s="26"/>
      <c r="UA204" s="26"/>
      <c r="UB204" s="26"/>
      <c r="UC204" s="26"/>
      <c r="UD204" s="26"/>
      <c r="UE204" s="26"/>
      <c r="UF204" s="26"/>
      <c r="UG204" s="26"/>
      <c r="UH204" s="26"/>
      <c r="UI204" s="26"/>
      <c r="UJ204" s="26"/>
      <c r="UK204" s="26"/>
      <c r="UL204" s="26"/>
      <c r="UM204" s="26"/>
      <c r="UN204" s="26"/>
      <c r="UO204" s="26"/>
      <c r="UP204" s="26"/>
      <c r="UQ204" s="26"/>
      <c r="UR204" s="26"/>
      <c r="US204" s="26"/>
      <c r="UT204" s="26"/>
      <c r="UU204" s="26"/>
      <c r="UV204" s="26"/>
      <c r="UW204" s="26"/>
      <c r="UX204" s="26"/>
      <c r="UY204" s="26"/>
      <c r="UZ204" s="26"/>
      <c r="VA204" s="26"/>
      <c r="VB204" s="26"/>
      <c r="VC204" s="26"/>
      <c r="VD204" s="26"/>
      <c r="VE204" s="26"/>
      <c r="VF204" s="26"/>
      <c r="VG204" s="26"/>
      <c r="VH204" s="26"/>
      <c r="VI204" s="26"/>
      <c r="VJ204" s="26"/>
      <c r="VK204" s="26"/>
      <c r="VL204" s="26"/>
      <c r="VM204" s="26"/>
      <c r="VN204" s="26"/>
      <c r="VO204" s="26"/>
      <c r="VP204" s="26"/>
      <c r="VQ204" s="26"/>
      <c r="VR204" s="26"/>
      <c r="VS204" s="26"/>
      <c r="VT204" s="26"/>
      <c r="VU204" s="26"/>
      <c r="VV204" s="26"/>
      <c r="VW204" s="26"/>
      <c r="VX204" s="26"/>
      <c r="VY204" s="26"/>
      <c r="VZ204" s="26"/>
      <c r="WA204" s="26"/>
      <c r="WB204" s="26"/>
      <c r="WC204" s="26"/>
      <c r="WD204" s="26"/>
      <c r="WE204" s="26"/>
      <c r="WF204" s="26"/>
      <c r="WG204" s="26"/>
      <c r="WH204" s="26"/>
      <c r="WI204" s="26"/>
      <c r="WJ204" s="26"/>
      <c r="WK204" s="26"/>
      <c r="WL204" s="26"/>
      <c r="WM204" s="26"/>
      <c r="WN204" s="26"/>
      <c r="WO204" s="26"/>
      <c r="WP204" s="26"/>
      <c r="WQ204" s="26"/>
      <c r="WR204" s="26"/>
      <c r="WS204" s="26"/>
      <c r="WT204" s="26"/>
      <c r="WU204" s="26"/>
      <c r="WV204" s="26"/>
      <c r="WW204" s="26"/>
      <c r="WX204" s="26"/>
      <c r="WY204" s="26"/>
      <c r="WZ204" s="26"/>
      <c r="XA204" s="26"/>
      <c r="XB204" s="26"/>
      <c r="XC204" s="26"/>
      <c r="XD204" s="26"/>
      <c r="XE204" s="26"/>
      <c r="XF204" s="26"/>
      <c r="XG204" s="26"/>
      <c r="XH204" s="26"/>
      <c r="XI204" s="26"/>
      <c r="XJ204" s="26"/>
      <c r="XK204" s="26"/>
      <c r="XL204" s="26"/>
      <c r="XM204" s="26"/>
      <c r="XN204" s="26"/>
      <c r="XO204" s="26"/>
      <c r="XP204" s="26"/>
      <c r="XQ204" s="26"/>
      <c r="XR204" s="26"/>
      <c r="XS204" s="26"/>
      <c r="XT204" s="26"/>
      <c r="XU204" s="26"/>
      <c r="XV204" s="26"/>
      <c r="XW204" s="26"/>
      <c r="XX204" s="26"/>
      <c r="XY204" s="26"/>
      <c r="XZ204" s="26"/>
      <c r="YA204" s="26"/>
      <c r="YB204" s="26"/>
      <c r="YC204" s="26"/>
      <c r="YD204" s="26"/>
      <c r="YE204" s="26"/>
      <c r="YF204" s="26"/>
      <c r="YG204" s="26"/>
      <c r="YH204" s="26"/>
      <c r="YI204" s="26"/>
      <c r="YJ204" s="26"/>
      <c r="YK204" s="26"/>
      <c r="YL204" s="26"/>
      <c r="YM204" s="26"/>
      <c r="YN204" s="26"/>
      <c r="YO204" s="26"/>
      <c r="YP204" s="26"/>
      <c r="YQ204" s="26"/>
      <c r="YR204" s="26"/>
      <c r="YS204" s="26"/>
      <c r="YT204" s="26"/>
      <c r="YU204" s="26"/>
      <c r="YV204" s="26"/>
      <c r="YW204" s="26"/>
      <c r="YX204" s="26"/>
      <c r="YY204" s="26"/>
      <c r="YZ204" s="26"/>
      <c r="ZA204" s="26"/>
      <c r="ZB204" s="26"/>
      <c r="ZC204" s="26"/>
      <c r="ZD204" s="26"/>
      <c r="ZE204" s="26"/>
      <c r="ZF204" s="26"/>
      <c r="ZG204" s="26"/>
      <c r="ZH204" s="26"/>
      <c r="ZI204" s="26"/>
      <c r="ZJ204" s="26"/>
      <c r="ZK204" s="26"/>
      <c r="ZL204" s="26"/>
      <c r="ZM204" s="26"/>
      <c r="ZN204" s="26"/>
      <c r="ZO204" s="26"/>
      <c r="ZP204" s="26"/>
      <c r="ZQ204" s="26"/>
      <c r="ZR204" s="26"/>
      <c r="ZS204" s="26"/>
      <c r="ZT204" s="26"/>
      <c r="ZU204" s="26"/>
      <c r="ZV204" s="26"/>
      <c r="ZW204" s="26"/>
      <c r="ZX204" s="26"/>
      <c r="ZY204" s="26"/>
      <c r="ZZ204" s="26"/>
      <c r="AAA204" s="26"/>
      <c r="AAB204" s="26"/>
      <c r="AAC204" s="26"/>
      <c r="AAD204" s="26"/>
      <c r="AAE204" s="26"/>
      <c r="AAF204" s="26"/>
      <c r="AAG204" s="26"/>
      <c r="AAH204" s="26"/>
      <c r="AAI204" s="26"/>
      <c r="AAJ204" s="26"/>
      <c r="AAK204" s="26"/>
      <c r="AAL204" s="26"/>
      <c r="AAM204" s="26"/>
      <c r="AAN204" s="26"/>
      <c r="AAO204" s="26"/>
      <c r="AAP204" s="26"/>
      <c r="AAQ204" s="26"/>
      <c r="AAR204" s="26"/>
      <c r="AAS204" s="26"/>
      <c r="AAT204" s="26"/>
      <c r="AAU204" s="26"/>
      <c r="AAV204" s="26"/>
      <c r="AAW204" s="26"/>
      <c r="AAX204" s="26"/>
      <c r="AAY204" s="26"/>
      <c r="AAZ204" s="26"/>
      <c r="ABA204" s="26"/>
      <c r="ABB204" s="26"/>
      <c r="ABC204" s="26"/>
      <c r="ABD204" s="26"/>
      <c r="ABE204" s="26"/>
      <c r="ABF204" s="26"/>
      <c r="ABG204" s="26"/>
      <c r="ABH204" s="26"/>
      <c r="ABI204" s="26"/>
      <c r="ABJ204" s="26"/>
      <c r="ABK204" s="26"/>
      <c r="ABL204" s="26"/>
      <c r="ABM204" s="26"/>
      <c r="ABN204" s="26"/>
      <c r="ABO204" s="26"/>
      <c r="ABP204" s="26"/>
      <c r="ABQ204" s="26"/>
      <c r="ABR204" s="26"/>
      <c r="ABS204" s="26"/>
      <c r="ABT204" s="26"/>
      <c r="ABU204" s="26"/>
      <c r="ABV204" s="26"/>
      <c r="ABW204" s="26"/>
      <c r="ABX204" s="26"/>
      <c r="ABY204" s="26"/>
      <c r="ABZ204" s="26"/>
      <c r="ACA204" s="26"/>
      <c r="ACB204" s="26"/>
      <c r="ACC204" s="26"/>
      <c r="ACD204" s="26"/>
      <c r="ACE204" s="26"/>
      <c r="ACF204" s="26"/>
      <c r="ACG204" s="26"/>
      <c r="ACH204" s="26"/>
      <c r="ACI204" s="26"/>
      <c r="ACJ204" s="26"/>
      <c r="ACK204" s="26"/>
      <c r="ACL204" s="26"/>
      <c r="ACM204" s="26"/>
      <c r="ACN204" s="26"/>
      <c r="ACO204" s="26"/>
      <c r="ACP204" s="26"/>
      <c r="ACQ204" s="26"/>
      <c r="ACR204" s="26"/>
      <c r="ACS204" s="26"/>
      <c r="ACT204" s="26"/>
      <c r="ACU204" s="26"/>
      <c r="ACV204" s="26"/>
      <c r="ACW204" s="26"/>
      <c r="ACX204" s="26"/>
      <c r="ACY204" s="26"/>
      <c r="ACZ204" s="26"/>
      <c r="ADA204" s="26"/>
      <c r="ADB204" s="26"/>
      <c r="ADC204" s="26"/>
      <c r="ADD204" s="26"/>
      <c r="ADE204" s="26"/>
      <c r="ADF204" s="26"/>
      <c r="ADG204" s="26"/>
      <c r="ADH204" s="26"/>
      <c r="ADI204" s="26"/>
      <c r="ADJ204" s="26"/>
      <c r="ADK204" s="26"/>
      <c r="ADL204" s="26"/>
      <c r="ADM204" s="26"/>
      <c r="ADN204" s="26"/>
      <c r="ADO204" s="26"/>
      <c r="ADP204" s="26"/>
      <c r="ADQ204" s="26"/>
      <c r="ADR204" s="26"/>
      <c r="ADS204" s="26"/>
      <c r="ADT204" s="26"/>
      <c r="ADU204" s="26"/>
      <c r="ADV204" s="26"/>
      <c r="ADW204" s="26"/>
      <c r="ADX204" s="26"/>
      <c r="ADY204" s="26"/>
      <c r="ADZ204" s="26"/>
      <c r="AEA204" s="26"/>
      <c r="AEB204" s="26"/>
      <c r="AEC204" s="26"/>
      <c r="AED204" s="26"/>
      <c r="AEE204" s="26"/>
      <c r="AEF204" s="26"/>
      <c r="AEG204" s="26"/>
      <c r="AEH204" s="26"/>
      <c r="AEI204" s="26"/>
      <c r="AEJ204" s="26"/>
      <c r="AEK204" s="26"/>
      <c r="AEL204" s="26"/>
      <c r="AEM204" s="26"/>
      <c r="AEN204" s="26"/>
      <c r="AEO204" s="26"/>
      <c r="AEP204" s="26"/>
      <c r="AEQ204" s="26"/>
      <c r="AER204" s="26"/>
      <c r="AES204" s="26"/>
      <c r="AET204" s="26"/>
      <c r="AEU204" s="26"/>
      <c r="AEV204" s="26"/>
      <c r="AEW204" s="26"/>
      <c r="AEX204" s="26"/>
      <c r="AEY204" s="26"/>
      <c r="AEZ204" s="26"/>
      <c r="AFA204" s="26"/>
      <c r="AFB204" s="26"/>
      <c r="AFC204" s="26"/>
      <c r="AFD204" s="26"/>
      <c r="AFE204" s="26"/>
      <c r="AFF204" s="26"/>
      <c r="AFG204" s="26"/>
      <c r="AFH204" s="26"/>
      <c r="AFI204" s="26"/>
      <c r="AFJ204" s="26"/>
      <c r="AFK204" s="26"/>
      <c r="AFL204" s="26"/>
      <c r="AFM204" s="26"/>
      <c r="AFN204" s="26"/>
      <c r="AFO204" s="26"/>
      <c r="AFP204" s="26"/>
      <c r="AFQ204" s="26"/>
      <c r="AFR204" s="26"/>
      <c r="AFS204" s="26"/>
      <c r="AFT204" s="26"/>
      <c r="AFU204" s="26"/>
      <c r="AFV204" s="26"/>
      <c r="AFW204" s="26"/>
      <c r="AFX204" s="26"/>
      <c r="AFY204" s="26"/>
      <c r="AFZ204" s="26"/>
      <c r="AGA204" s="26"/>
      <c r="AGB204" s="26"/>
      <c r="AGC204" s="26"/>
      <c r="AGD204" s="26"/>
      <c r="AGE204" s="26"/>
      <c r="AGF204" s="26"/>
      <c r="AGG204" s="26"/>
      <c r="AGH204" s="26"/>
      <c r="AGI204" s="26"/>
      <c r="AGJ204" s="26"/>
      <c r="AGK204" s="26"/>
      <c r="AGL204" s="26"/>
      <c r="AGM204" s="26"/>
      <c r="AGN204" s="26"/>
      <c r="AGO204" s="26"/>
      <c r="AGP204" s="26"/>
      <c r="AGQ204" s="26"/>
      <c r="AGR204" s="26"/>
      <c r="AGS204" s="26"/>
      <c r="AGT204" s="26"/>
      <c r="AGU204" s="26"/>
      <c r="AGV204" s="26"/>
      <c r="AGW204" s="26"/>
      <c r="AGX204" s="26"/>
      <c r="AGY204" s="26"/>
      <c r="AGZ204" s="26"/>
      <c r="AHA204" s="26"/>
      <c r="AHB204" s="26"/>
      <c r="AHC204" s="26"/>
      <c r="AHD204" s="26"/>
      <c r="AHE204" s="26"/>
      <c r="AHF204" s="26"/>
      <c r="AHG204" s="26"/>
      <c r="AHH204" s="26"/>
      <c r="AHI204" s="26"/>
      <c r="AHJ204" s="26"/>
      <c r="AHK204" s="26"/>
      <c r="AHL204" s="26"/>
      <c r="AHM204" s="26"/>
      <c r="AHN204" s="26"/>
      <c r="AHO204" s="26"/>
      <c r="AHP204" s="26"/>
      <c r="AHQ204" s="26"/>
      <c r="AHR204" s="26"/>
      <c r="AHS204" s="26"/>
      <c r="AHT204" s="26"/>
      <c r="AHU204" s="26"/>
      <c r="AHV204" s="26"/>
      <c r="AHW204" s="26"/>
      <c r="AHX204" s="26"/>
      <c r="AHY204" s="26"/>
      <c r="AHZ204" s="26"/>
      <c r="AIA204" s="26"/>
      <c r="AIB204" s="26"/>
      <c r="AIC204" s="26"/>
      <c r="AID204" s="26"/>
      <c r="AIE204" s="26"/>
      <c r="AIF204" s="26"/>
      <c r="AIG204" s="26"/>
      <c r="AIH204" s="26"/>
      <c r="AII204" s="26"/>
      <c r="AIJ204" s="26"/>
      <c r="AIK204" s="26"/>
      <c r="AIL204" s="26"/>
      <c r="AIM204" s="26"/>
      <c r="AIN204" s="26"/>
      <c r="AIO204" s="26"/>
      <c r="AIP204" s="26"/>
      <c r="AIQ204" s="26"/>
      <c r="AIR204" s="26"/>
      <c r="AIS204" s="26"/>
      <c r="AIT204" s="26"/>
      <c r="AIU204" s="26"/>
      <c r="AIV204" s="26"/>
      <c r="AIW204" s="26"/>
      <c r="AIX204" s="26"/>
      <c r="AIY204" s="26"/>
      <c r="AIZ204" s="26"/>
      <c r="AJA204" s="26"/>
      <c r="AJB204" s="26"/>
      <c r="AJC204" s="26"/>
      <c r="AJD204" s="26"/>
      <c r="AJE204" s="26"/>
      <c r="AJF204" s="26"/>
      <c r="AJG204" s="26"/>
      <c r="AJH204" s="26"/>
      <c r="AJI204" s="26"/>
      <c r="AJJ204" s="26"/>
      <c r="AJK204" s="26"/>
      <c r="AJL204" s="26"/>
      <c r="AJM204" s="26"/>
      <c r="AJN204" s="26"/>
      <c r="AJO204" s="26"/>
      <c r="AJP204" s="26"/>
      <c r="AJQ204" s="26"/>
      <c r="AJR204" s="26"/>
      <c r="AJS204" s="26"/>
      <c r="AJT204" s="26"/>
      <c r="AJU204" s="26"/>
      <c r="AJV204" s="26"/>
      <c r="AJW204" s="26"/>
      <c r="AJX204" s="26"/>
      <c r="AJY204" s="26"/>
      <c r="AJZ204" s="26"/>
      <c r="AKA204" s="26"/>
      <c r="AKB204" s="26"/>
      <c r="AKC204" s="26"/>
      <c r="AKD204" s="26"/>
      <c r="AKE204" s="26"/>
      <c r="AKF204" s="26"/>
      <c r="AKG204" s="26"/>
      <c r="AKH204" s="26"/>
      <c r="AKI204" s="26"/>
      <c r="AKJ204" s="26"/>
      <c r="AKK204" s="26"/>
      <c r="AKL204" s="26"/>
      <c r="AKM204" s="26"/>
      <c r="AKN204" s="26"/>
      <c r="AKO204" s="26"/>
      <c r="AKP204" s="26"/>
      <c r="AKQ204" s="26"/>
      <c r="AKR204" s="26"/>
      <c r="AKS204" s="26"/>
      <c r="AKT204" s="26"/>
      <c r="AKU204" s="26"/>
      <c r="AKV204" s="26"/>
      <c r="AKW204" s="26"/>
      <c r="AKX204" s="26"/>
      <c r="AKY204" s="26"/>
      <c r="AKZ204" s="26"/>
      <c r="ALA204" s="26"/>
      <c r="ALB204" s="26"/>
      <c r="ALC204" s="26"/>
      <c r="ALD204" s="26"/>
      <c r="ALE204" s="26"/>
      <c r="ALF204" s="26"/>
      <c r="ALG204" s="26"/>
      <c r="ALH204" s="26"/>
      <c r="ALI204" s="26"/>
      <c r="ALJ204" s="26"/>
      <c r="ALK204" s="26"/>
      <c r="ALL204" s="26"/>
      <c r="ALM204" s="26"/>
      <c r="ALN204" s="26"/>
      <c r="ALO204" s="26"/>
      <c r="ALP204" s="26"/>
      <c r="ALQ204" s="26"/>
      <c r="ALR204" s="26"/>
      <c r="ALS204" s="26"/>
      <c r="ALT204" s="26"/>
      <c r="ALU204" s="26"/>
      <c r="ALV204" s="26"/>
      <c r="ALW204" s="26"/>
      <c r="ALX204" s="26"/>
      <c r="ALY204" s="26"/>
      <c r="ALZ204" s="26"/>
      <c r="AMA204" s="26"/>
      <c r="AMB204" s="26"/>
      <c r="AMC204" s="26"/>
      <c r="AMD204" s="26"/>
      <c r="AME204" s="26"/>
      <c r="AMF204" s="26"/>
      <c r="AMG204" s="26"/>
      <c r="AMH204" s="26"/>
      <c r="AMI204" s="26"/>
      <c r="AMJ204" s="26"/>
      <c r="AMK204" s="26"/>
      <c r="AML204" s="26"/>
      <c r="AMM204" s="26"/>
      <c r="AMN204" s="26"/>
      <c r="AMO204" s="26"/>
      <c r="AMP204" s="26"/>
      <c r="AMQ204" s="26"/>
      <c r="AMR204" s="26"/>
      <c r="AMS204" s="26"/>
      <c r="AMT204" s="26"/>
      <c r="AMU204" s="26"/>
      <c r="AMV204" s="26"/>
      <c r="AMW204" s="26"/>
      <c r="AMX204" s="26"/>
      <c r="AMY204" s="26"/>
      <c r="AMZ204" s="26"/>
      <c r="ANA204" s="26"/>
      <c r="ANB204" s="26"/>
      <c r="ANC204" s="26"/>
      <c r="AND204" s="26"/>
      <c r="ANE204" s="26"/>
      <c r="ANF204" s="26"/>
      <c r="ANG204" s="26"/>
      <c r="ANH204" s="26"/>
      <c r="ANI204" s="26"/>
      <c r="ANJ204" s="26"/>
      <c r="ANK204" s="26"/>
      <c r="ANL204" s="26"/>
      <c r="ANM204" s="26"/>
      <c r="ANN204" s="26"/>
      <c r="ANO204" s="26"/>
      <c r="ANP204" s="26"/>
      <c r="ANQ204" s="26"/>
      <c r="ANR204" s="26"/>
      <c r="ANS204" s="26"/>
      <c r="ANT204" s="26"/>
      <c r="ANU204" s="26"/>
      <c r="ANV204" s="26"/>
      <c r="ANW204" s="26"/>
      <c r="ANX204" s="26"/>
      <c r="ANY204" s="26"/>
      <c r="ANZ204" s="26"/>
      <c r="AOA204" s="26"/>
      <c r="AOB204" s="26"/>
      <c r="AOC204" s="26"/>
      <c r="AOD204" s="26"/>
      <c r="AOE204" s="26"/>
      <c r="AOF204" s="26"/>
      <c r="AOG204" s="26"/>
      <c r="AOH204" s="26"/>
      <c r="AOI204" s="26"/>
      <c r="AOJ204" s="26"/>
      <c r="AOK204" s="26"/>
      <c r="AOL204" s="26"/>
      <c r="AOM204" s="26"/>
      <c r="AON204" s="26"/>
      <c r="AOO204" s="26"/>
      <c r="AOP204" s="26"/>
      <c r="AOQ204" s="26"/>
      <c r="AOR204" s="26"/>
      <c r="AOS204" s="26"/>
      <c r="AOT204" s="26"/>
      <c r="AOU204" s="26"/>
      <c r="AOV204" s="26"/>
      <c r="AOW204" s="26"/>
      <c r="AOX204" s="26"/>
      <c r="AOY204" s="26"/>
      <c r="AOZ204" s="26"/>
      <c r="APA204" s="26"/>
      <c r="APB204" s="26"/>
      <c r="APC204" s="26"/>
      <c r="APD204" s="26"/>
      <c r="APE204" s="26"/>
      <c r="APF204" s="26"/>
      <c r="APG204" s="26"/>
      <c r="APH204" s="26"/>
      <c r="API204" s="26"/>
      <c r="APJ204" s="26"/>
      <c r="APK204" s="26"/>
      <c r="APL204" s="26"/>
      <c r="APM204" s="26"/>
      <c r="APN204" s="26"/>
      <c r="APO204" s="26"/>
      <c r="APP204" s="26"/>
      <c r="APQ204" s="26"/>
      <c r="APR204" s="26"/>
      <c r="APS204" s="26"/>
      <c r="APT204" s="26"/>
      <c r="APU204" s="26"/>
      <c r="APV204" s="26"/>
      <c r="APW204" s="26"/>
      <c r="APX204" s="26"/>
      <c r="APY204" s="26"/>
      <c r="APZ204" s="26"/>
      <c r="AQA204" s="26"/>
      <c r="AQB204" s="26"/>
      <c r="AQC204" s="26"/>
      <c r="AQD204" s="26"/>
      <c r="AQE204" s="26"/>
      <c r="AQF204" s="26"/>
      <c r="AQG204" s="26"/>
      <c r="AQH204" s="26"/>
      <c r="AQI204" s="26"/>
      <c r="AQJ204" s="26"/>
      <c r="AQK204" s="26"/>
      <c r="AQL204" s="26"/>
      <c r="AQM204" s="26"/>
      <c r="AQN204" s="26"/>
      <c r="AQO204" s="26"/>
      <c r="AQP204" s="26"/>
      <c r="AQQ204" s="26"/>
      <c r="AQR204" s="26"/>
      <c r="AQS204" s="26"/>
      <c r="AQT204" s="26"/>
      <c r="AQU204" s="26"/>
      <c r="AQV204" s="26"/>
      <c r="AQW204" s="26"/>
      <c r="AQX204" s="26"/>
      <c r="AQY204" s="26"/>
      <c r="AQZ204" s="26"/>
      <c r="ARA204" s="26"/>
      <c r="ARB204" s="26"/>
      <c r="ARC204" s="26"/>
      <c r="ARD204" s="26"/>
      <c r="ARE204" s="26"/>
      <c r="ARF204" s="26"/>
      <c r="ARG204" s="26"/>
      <c r="ARH204" s="26"/>
      <c r="ARI204" s="26"/>
      <c r="ARJ204" s="26"/>
      <c r="ARK204" s="26"/>
      <c r="ARL204" s="26"/>
      <c r="ARM204" s="26"/>
      <c r="ARN204" s="26"/>
      <c r="ARO204" s="26"/>
      <c r="ARP204" s="26"/>
      <c r="ARQ204" s="26"/>
      <c r="ARR204" s="26"/>
      <c r="ARS204" s="26"/>
      <c r="ART204" s="26"/>
      <c r="ARU204" s="26"/>
      <c r="ARV204" s="26"/>
      <c r="ARW204" s="26"/>
      <c r="ARX204" s="26"/>
      <c r="ARY204" s="26"/>
      <c r="ARZ204" s="26"/>
      <c r="ASA204" s="26"/>
      <c r="ASB204" s="26"/>
      <c r="ASC204" s="26"/>
      <c r="ASD204" s="26"/>
      <c r="ASE204" s="26"/>
      <c r="ASF204" s="26"/>
      <c r="ASG204" s="26"/>
      <c r="ASH204" s="26"/>
      <c r="ASI204" s="26"/>
      <c r="ASJ204" s="26"/>
      <c r="ASK204" s="26"/>
      <c r="ASL204" s="26"/>
      <c r="ASM204" s="26"/>
      <c r="ASN204" s="26"/>
      <c r="ASO204" s="26"/>
      <c r="ASP204" s="26"/>
      <c r="ASQ204" s="26"/>
      <c r="ASR204" s="26"/>
      <c r="ASS204" s="26"/>
      <c r="AST204" s="26"/>
      <c r="ASU204" s="26"/>
      <c r="ASV204" s="26"/>
      <c r="ASW204" s="26"/>
      <c r="ASX204" s="26"/>
      <c r="ASY204" s="26"/>
      <c r="ASZ204" s="26"/>
      <c r="ATA204" s="26"/>
      <c r="ATB204" s="26"/>
      <c r="ATC204" s="26"/>
      <c r="ATD204" s="26"/>
      <c r="ATE204" s="26"/>
      <c r="ATF204" s="26"/>
      <c r="ATG204" s="26"/>
      <c r="ATH204" s="26"/>
      <c r="ATI204" s="26"/>
      <c r="ATJ204" s="26"/>
      <c r="ATK204" s="26"/>
      <c r="ATL204" s="26"/>
      <c r="ATM204" s="26"/>
      <c r="ATN204" s="26"/>
      <c r="ATO204" s="26"/>
      <c r="ATP204" s="26"/>
      <c r="ATQ204" s="26"/>
      <c r="ATR204" s="26"/>
      <c r="ATS204" s="26"/>
      <c r="ATT204" s="26"/>
      <c r="ATU204" s="26"/>
      <c r="ATV204" s="26"/>
      <c r="ATW204" s="26"/>
      <c r="ATX204" s="26"/>
      <c r="ATY204" s="26"/>
      <c r="ATZ204" s="26"/>
      <c r="AUA204" s="26"/>
      <c r="AUB204" s="26"/>
      <c r="AUC204" s="26"/>
      <c r="AUD204" s="26"/>
      <c r="AUE204" s="26"/>
      <c r="AUF204" s="26"/>
      <c r="AUG204" s="26"/>
      <c r="AUH204" s="26"/>
      <c r="AUI204" s="26"/>
      <c r="AUJ204" s="26"/>
      <c r="AUK204" s="26"/>
      <c r="AUL204" s="26"/>
      <c r="AUM204" s="26"/>
      <c r="AUN204" s="26"/>
      <c r="AUO204" s="26"/>
      <c r="AUP204" s="26"/>
      <c r="AUQ204" s="26"/>
      <c r="AUR204" s="26"/>
      <c r="AUS204" s="26"/>
      <c r="AUT204" s="26"/>
      <c r="AUU204" s="26"/>
      <c r="AUV204" s="26"/>
      <c r="AUW204" s="26"/>
      <c r="AUX204" s="26"/>
      <c r="AUY204" s="26"/>
      <c r="AUZ204" s="26"/>
      <c r="AVA204" s="26"/>
      <c r="AVB204" s="26"/>
      <c r="AVC204" s="26"/>
      <c r="AVD204" s="26"/>
      <c r="AVE204" s="26"/>
      <c r="AVF204" s="26"/>
      <c r="AVG204" s="26"/>
      <c r="AVH204" s="26"/>
      <c r="AVI204" s="26"/>
      <c r="AVJ204" s="26"/>
      <c r="AVK204" s="26"/>
      <c r="AVL204" s="26"/>
      <c r="AVM204" s="26"/>
      <c r="AVN204" s="26"/>
      <c r="AVO204" s="26"/>
      <c r="AVP204" s="26"/>
      <c r="AVQ204" s="26"/>
      <c r="AVR204" s="26"/>
      <c r="AVS204" s="26"/>
      <c r="AVT204" s="26"/>
      <c r="AVU204" s="26"/>
      <c r="AVV204" s="26"/>
      <c r="AVW204" s="26"/>
      <c r="AVX204" s="26"/>
      <c r="AVY204" s="26"/>
      <c r="AVZ204" s="26"/>
      <c r="AWA204" s="26"/>
      <c r="AWB204" s="26"/>
      <c r="AWC204" s="26"/>
      <c r="AWD204" s="26"/>
      <c r="AWE204" s="26"/>
      <c r="AWF204" s="26"/>
      <c r="AWG204" s="26"/>
      <c r="AWH204" s="26"/>
      <c r="AWI204" s="26"/>
      <c r="AWJ204" s="26"/>
      <c r="AWK204" s="26"/>
      <c r="AWL204" s="26"/>
      <c r="AWM204" s="26"/>
      <c r="AWN204" s="26"/>
      <c r="AWO204" s="26"/>
      <c r="AWP204" s="26"/>
      <c r="AWQ204" s="26"/>
      <c r="AWR204" s="26"/>
      <c r="AWS204" s="26"/>
      <c r="AWT204" s="26"/>
      <c r="AWU204" s="26"/>
      <c r="AWV204" s="26"/>
      <c r="AWW204" s="26"/>
      <c r="AWX204" s="26"/>
      <c r="AWY204" s="26"/>
      <c r="AWZ204" s="26"/>
      <c r="AXA204" s="26"/>
      <c r="AXB204" s="26"/>
      <c r="AXC204" s="26"/>
      <c r="AXD204" s="26"/>
      <c r="AXE204" s="26"/>
      <c r="AXF204" s="26"/>
      <c r="AXG204" s="26"/>
      <c r="AXH204" s="26"/>
      <c r="AXI204" s="26"/>
      <c r="AXJ204" s="26"/>
      <c r="AXK204" s="26"/>
      <c r="AXL204" s="26"/>
      <c r="AXM204" s="26"/>
      <c r="AXN204" s="26"/>
      <c r="AXO204" s="26"/>
      <c r="AXP204" s="26"/>
      <c r="AXQ204" s="26"/>
      <c r="AXR204" s="26"/>
      <c r="AXS204" s="26"/>
      <c r="AXT204" s="26"/>
      <c r="AXU204" s="26"/>
      <c r="AXV204" s="26"/>
      <c r="AXW204" s="26"/>
      <c r="AXX204" s="26"/>
      <c r="AXY204" s="26"/>
      <c r="AXZ204" s="26"/>
      <c r="AYA204" s="26"/>
      <c r="AYB204" s="26"/>
      <c r="AYC204" s="26"/>
      <c r="AYD204" s="26"/>
      <c r="AYE204" s="26"/>
      <c r="AYF204" s="26"/>
      <c r="AYG204" s="26"/>
      <c r="AYH204" s="26"/>
      <c r="AYI204" s="26"/>
      <c r="AYJ204" s="26"/>
      <c r="AYK204" s="26"/>
      <c r="AYL204" s="26"/>
      <c r="AYM204" s="26"/>
      <c r="AYN204" s="26"/>
      <c r="AYO204" s="26"/>
      <c r="AYP204" s="26"/>
      <c r="AYQ204" s="26"/>
      <c r="AYR204" s="26"/>
      <c r="AYS204" s="26"/>
      <c r="AYT204" s="26"/>
      <c r="AYU204" s="26"/>
      <c r="AYV204" s="26"/>
      <c r="AYW204" s="26"/>
      <c r="AYX204" s="26"/>
      <c r="AYY204" s="26"/>
      <c r="AYZ204" s="26"/>
      <c r="AZA204" s="26"/>
      <c r="AZB204" s="26"/>
      <c r="AZC204" s="26"/>
      <c r="AZD204" s="26"/>
      <c r="AZE204" s="26"/>
      <c r="AZF204" s="26"/>
      <c r="AZG204" s="26"/>
      <c r="AZH204" s="26"/>
      <c r="AZI204" s="26"/>
      <c r="AZJ204" s="26"/>
      <c r="AZK204" s="26"/>
      <c r="AZL204" s="26"/>
      <c r="AZM204" s="26"/>
      <c r="AZN204" s="26"/>
      <c r="AZO204" s="26"/>
      <c r="AZP204" s="26"/>
      <c r="AZQ204" s="26"/>
      <c r="AZR204" s="26"/>
      <c r="AZS204" s="26"/>
      <c r="AZT204" s="26"/>
      <c r="AZU204" s="26"/>
      <c r="AZV204" s="26"/>
      <c r="AZW204" s="26"/>
      <c r="AZX204" s="26"/>
      <c r="AZY204" s="26"/>
      <c r="AZZ204" s="26"/>
      <c r="BAA204" s="26"/>
      <c r="BAB204" s="26"/>
      <c r="BAC204" s="26"/>
      <c r="BAD204" s="26"/>
      <c r="BAE204" s="26"/>
      <c r="BAF204" s="26"/>
      <c r="BAG204" s="26"/>
      <c r="BAH204" s="26"/>
      <c r="BAI204" s="26"/>
      <c r="BAJ204" s="26"/>
      <c r="BAK204" s="26"/>
      <c r="BAL204" s="26"/>
      <c r="BAM204" s="26"/>
      <c r="BAN204" s="26"/>
      <c r="BAO204" s="26"/>
      <c r="BAP204" s="26"/>
      <c r="BAQ204" s="26"/>
      <c r="BAR204" s="26"/>
      <c r="BAS204" s="26"/>
      <c r="BAT204" s="26"/>
      <c r="BAU204" s="26"/>
      <c r="BAV204" s="26"/>
      <c r="BAW204" s="26"/>
      <c r="BAX204" s="26"/>
      <c r="BAY204" s="26"/>
      <c r="BAZ204" s="26"/>
      <c r="BBA204" s="26"/>
      <c r="BBB204" s="26"/>
      <c r="BBC204" s="26"/>
      <c r="BBD204" s="26"/>
      <c r="BBE204" s="26"/>
      <c r="BBF204" s="26"/>
      <c r="BBG204" s="26"/>
      <c r="BBH204" s="26"/>
      <c r="BBI204" s="26"/>
      <c r="BBJ204" s="26"/>
      <c r="BBK204" s="26"/>
      <c r="BBL204" s="26"/>
      <c r="BBM204" s="26"/>
      <c r="BBN204" s="26"/>
      <c r="BBO204" s="26"/>
      <c r="BBP204" s="26"/>
      <c r="BBQ204" s="26"/>
      <c r="BBR204" s="26"/>
      <c r="BBS204" s="26"/>
      <c r="BBT204" s="26"/>
      <c r="BBU204" s="26"/>
      <c r="BBV204" s="26"/>
      <c r="BBW204" s="26"/>
      <c r="BBX204" s="26"/>
      <c r="BBY204" s="26"/>
      <c r="BBZ204" s="26"/>
      <c r="BCA204" s="26"/>
      <c r="BCB204" s="26"/>
      <c r="BCC204" s="26"/>
      <c r="BCD204" s="26"/>
      <c r="BCE204" s="26"/>
      <c r="BCF204" s="26"/>
      <c r="BCG204" s="26"/>
      <c r="BCH204" s="26"/>
      <c r="BCI204" s="26"/>
      <c r="BCJ204" s="26"/>
      <c r="BCK204" s="26"/>
      <c r="BCL204" s="26"/>
      <c r="BCM204" s="26"/>
      <c r="BCN204" s="26"/>
      <c r="BCO204" s="26"/>
      <c r="BCP204" s="26"/>
      <c r="BCQ204" s="26"/>
      <c r="BCR204" s="26"/>
      <c r="BCS204" s="26"/>
      <c r="BCT204" s="26"/>
      <c r="BCU204" s="26"/>
      <c r="BCV204" s="26"/>
      <c r="BCW204" s="26"/>
      <c r="BCX204" s="26"/>
      <c r="BCY204" s="26"/>
      <c r="BCZ204" s="26"/>
      <c r="BDA204" s="26"/>
      <c r="BDB204" s="26"/>
      <c r="BDC204" s="26"/>
      <c r="BDD204" s="26"/>
      <c r="BDE204" s="26"/>
      <c r="BDF204" s="26"/>
      <c r="BDG204" s="26"/>
      <c r="BDH204" s="26"/>
      <c r="BDI204" s="26"/>
      <c r="BDJ204" s="26"/>
      <c r="BDK204" s="26"/>
      <c r="BDL204" s="26"/>
      <c r="BDM204" s="26"/>
      <c r="BDN204" s="26"/>
      <c r="BDO204" s="26"/>
      <c r="BDP204" s="26"/>
      <c r="BDQ204" s="26"/>
      <c r="BDR204" s="26"/>
      <c r="BDS204" s="26"/>
      <c r="BDT204" s="26"/>
      <c r="BDU204" s="26"/>
      <c r="BDV204" s="26"/>
      <c r="BDW204" s="26"/>
      <c r="BDX204" s="26"/>
      <c r="BDY204" s="26"/>
      <c r="BDZ204" s="26"/>
      <c r="BEA204" s="26"/>
      <c r="BEB204" s="26"/>
      <c r="BEC204" s="26"/>
      <c r="BED204" s="26"/>
      <c r="BEE204" s="26"/>
      <c r="BEF204" s="26"/>
      <c r="BEG204" s="26"/>
      <c r="BEH204" s="26"/>
      <c r="BEI204" s="26"/>
      <c r="BEJ204" s="26"/>
      <c r="BEK204" s="26"/>
      <c r="BEL204" s="26"/>
      <c r="BEM204" s="26"/>
      <c r="BEN204" s="26"/>
      <c r="BEO204" s="26"/>
      <c r="BEP204" s="26"/>
      <c r="BEQ204" s="26"/>
      <c r="BER204" s="26"/>
      <c r="BES204" s="26"/>
      <c r="BET204" s="26"/>
      <c r="BEU204" s="26"/>
      <c r="BEV204" s="26"/>
      <c r="BEW204" s="26"/>
      <c r="BEX204" s="26"/>
      <c r="BEY204" s="26"/>
      <c r="BEZ204" s="26"/>
      <c r="BFA204" s="26"/>
      <c r="BFB204" s="26"/>
      <c r="BFC204" s="26"/>
      <c r="BFD204" s="26"/>
      <c r="BFE204" s="26"/>
      <c r="BFF204" s="26"/>
      <c r="BFG204" s="26"/>
      <c r="BFH204" s="26"/>
      <c r="BFI204" s="26"/>
      <c r="BFJ204" s="26"/>
      <c r="BFK204" s="26"/>
      <c r="BFL204" s="26"/>
      <c r="BFM204" s="26"/>
      <c r="BFN204" s="26"/>
      <c r="BFO204" s="26"/>
      <c r="BFP204" s="26"/>
      <c r="BFQ204" s="26"/>
      <c r="BFR204" s="26"/>
      <c r="BFS204" s="26"/>
      <c r="BFT204" s="26"/>
      <c r="BFU204" s="26"/>
      <c r="BFV204" s="26"/>
      <c r="BFW204" s="26"/>
      <c r="BFX204" s="26"/>
      <c r="BFY204" s="26"/>
      <c r="BFZ204" s="26"/>
      <c r="BGA204" s="26"/>
      <c r="BGB204" s="26"/>
      <c r="BGC204" s="26"/>
      <c r="BGD204" s="26"/>
      <c r="BGE204" s="26"/>
      <c r="BGF204" s="26"/>
      <c r="BGG204" s="26"/>
      <c r="BGH204" s="26"/>
      <c r="BGI204" s="26"/>
      <c r="BGJ204" s="26"/>
      <c r="BGK204" s="26"/>
      <c r="BGL204" s="26"/>
      <c r="BGM204" s="26"/>
      <c r="BGN204" s="26"/>
      <c r="BGO204" s="26"/>
      <c r="BGP204" s="26"/>
      <c r="BGQ204" s="26"/>
      <c r="BGR204" s="26"/>
      <c r="BGS204" s="26"/>
      <c r="BGT204" s="26"/>
      <c r="BGU204" s="26"/>
      <c r="BGV204" s="26"/>
      <c r="BGW204" s="26"/>
      <c r="BGX204" s="26"/>
      <c r="BGY204" s="26"/>
      <c r="BGZ204" s="26"/>
      <c r="BHA204" s="26"/>
      <c r="BHB204" s="26"/>
      <c r="BHC204" s="26"/>
      <c r="BHD204" s="26"/>
      <c r="BHE204" s="26"/>
      <c r="BHF204" s="26"/>
      <c r="BHG204" s="26"/>
      <c r="BHH204" s="26"/>
      <c r="BHI204" s="26"/>
      <c r="BHJ204" s="26"/>
      <c r="BHK204" s="26"/>
      <c r="BHL204" s="26"/>
      <c r="BHM204" s="26"/>
      <c r="BHN204" s="26"/>
      <c r="BHO204" s="26"/>
      <c r="BHP204" s="26"/>
      <c r="BHQ204" s="26"/>
      <c r="BHR204" s="26"/>
      <c r="BHS204" s="26"/>
      <c r="BHT204" s="26"/>
      <c r="BHU204" s="26"/>
      <c r="BHV204" s="26"/>
      <c r="BHW204" s="26"/>
      <c r="BHX204" s="26"/>
      <c r="BHY204" s="26"/>
      <c r="BHZ204" s="26"/>
      <c r="BIA204" s="26"/>
      <c r="BIB204" s="26"/>
      <c r="BIC204" s="26"/>
      <c r="BID204" s="26"/>
      <c r="BIE204" s="26"/>
      <c r="BIF204" s="26"/>
      <c r="BIG204" s="26"/>
      <c r="BIH204" s="26"/>
      <c r="BII204" s="26"/>
      <c r="BIJ204" s="26"/>
      <c r="BIK204" s="26"/>
      <c r="BIL204" s="26"/>
      <c r="BIM204" s="26"/>
      <c r="BIN204" s="26"/>
      <c r="BIO204" s="26"/>
      <c r="BIP204" s="26"/>
      <c r="BIQ204" s="26"/>
      <c r="BIR204" s="26"/>
      <c r="BIS204" s="26"/>
      <c r="BIT204" s="26"/>
      <c r="BIU204" s="26"/>
      <c r="BIV204" s="26"/>
      <c r="BIW204" s="26"/>
      <c r="BIX204" s="26"/>
      <c r="BIY204" s="26"/>
      <c r="BIZ204" s="26"/>
      <c r="BJA204" s="26"/>
      <c r="BJB204" s="26"/>
      <c r="BJC204" s="26"/>
      <c r="BJD204" s="26"/>
      <c r="BJE204" s="26"/>
      <c r="BJF204" s="26"/>
      <c r="BJG204" s="26"/>
      <c r="BJH204" s="26"/>
      <c r="BJI204" s="26"/>
      <c r="BJJ204" s="26"/>
      <c r="BJK204" s="26"/>
      <c r="BJL204" s="26"/>
      <c r="BJM204" s="26"/>
      <c r="BJN204" s="26"/>
      <c r="BJO204" s="26"/>
      <c r="BJP204" s="26"/>
      <c r="BJQ204" s="26"/>
      <c r="BJR204" s="26"/>
      <c r="BJS204" s="26"/>
      <c r="BJT204" s="26"/>
      <c r="BJU204" s="26"/>
      <c r="BJV204" s="26"/>
      <c r="BJW204" s="26"/>
      <c r="BJX204" s="26"/>
      <c r="BJY204" s="26"/>
      <c r="BJZ204" s="26"/>
      <c r="BKA204" s="26"/>
      <c r="BKB204" s="26"/>
      <c r="BKC204" s="26"/>
      <c r="BKD204" s="26"/>
      <c r="BKE204" s="26"/>
      <c r="BKF204" s="26"/>
      <c r="BKG204" s="26"/>
      <c r="BKH204" s="26"/>
      <c r="BKI204" s="26"/>
      <c r="BKJ204" s="26"/>
      <c r="BKK204" s="26"/>
      <c r="BKL204" s="26"/>
      <c r="BKM204" s="26"/>
      <c r="BKN204" s="26"/>
      <c r="BKO204" s="26"/>
      <c r="BKP204" s="26"/>
      <c r="BKQ204" s="26"/>
      <c r="BKR204" s="26"/>
      <c r="BKS204" s="26"/>
      <c r="BKT204" s="26"/>
      <c r="BKU204" s="26"/>
      <c r="BKV204" s="26"/>
      <c r="BKW204" s="26"/>
      <c r="BKX204" s="26"/>
      <c r="BKY204" s="26"/>
      <c r="BKZ204" s="26"/>
      <c r="BLA204" s="26"/>
      <c r="BLB204" s="26"/>
      <c r="BLC204" s="26"/>
      <c r="BLD204" s="26"/>
      <c r="BLE204" s="26"/>
      <c r="BLF204" s="26"/>
      <c r="BLG204" s="26"/>
      <c r="BLH204" s="26"/>
      <c r="BLI204" s="26"/>
      <c r="BLJ204" s="26"/>
      <c r="BLK204" s="26"/>
      <c r="BLL204" s="26"/>
      <c r="BLM204" s="26"/>
      <c r="BLN204" s="26"/>
      <c r="BLO204" s="26"/>
      <c r="BLP204" s="26"/>
      <c r="BLQ204" s="26"/>
      <c r="BLR204" s="26"/>
      <c r="BLS204" s="26"/>
      <c r="BLT204" s="26"/>
      <c r="BLU204" s="26"/>
      <c r="BLV204" s="26"/>
      <c r="BLW204" s="26"/>
      <c r="BLX204" s="26"/>
      <c r="BLY204" s="26"/>
      <c r="BLZ204" s="26"/>
      <c r="BMA204" s="26"/>
      <c r="BMB204" s="26"/>
      <c r="BMC204" s="26"/>
      <c r="BMD204" s="26"/>
      <c r="BME204" s="26"/>
      <c r="BMF204" s="26"/>
      <c r="BMG204" s="26"/>
      <c r="BMH204" s="26"/>
      <c r="BMI204" s="26"/>
      <c r="BMJ204" s="26"/>
      <c r="BMK204" s="26"/>
      <c r="BML204" s="26"/>
      <c r="BMM204" s="26"/>
      <c r="BMN204" s="26"/>
      <c r="BMO204" s="26"/>
      <c r="BMP204" s="26"/>
      <c r="BMQ204" s="26"/>
      <c r="BMR204" s="26"/>
      <c r="BMS204" s="26"/>
      <c r="BMT204" s="26"/>
      <c r="BMU204" s="26"/>
      <c r="BMV204" s="26"/>
      <c r="BMW204" s="26"/>
      <c r="BMX204" s="26"/>
      <c r="BMY204" s="26"/>
      <c r="BMZ204" s="26"/>
      <c r="BNA204" s="26"/>
      <c r="BNB204" s="26"/>
      <c r="BNC204" s="26"/>
      <c r="BND204" s="26"/>
      <c r="BNE204" s="26"/>
      <c r="BNF204" s="26"/>
      <c r="BNG204" s="26"/>
      <c r="BNH204" s="26"/>
      <c r="BNI204" s="26"/>
      <c r="BNJ204" s="26"/>
      <c r="BNK204" s="26"/>
      <c r="BNL204" s="26"/>
      <c r="BNM204" s="26"/>
    </row>
    <row r="205" spans="1:1729" s="3" customFormat="1" x14ac:dyDescent="0.3">
      <c r="A205" s="21" t="s">
        <v>5</v>
      </c>
      <c r="B205" s="21" t="s">
        <v>6</v>
      </c>
      <c r="C205" s="21">
        <v>0.12</v>
      </c>
      <c r="D205" s="21">
        <v>1.03</v>
      </c>
      <c r="E205" s="21">
        <v>2.02</v>
      </c>
      <c r="F205" s="21">
        <v>3</v>
      </c>
      <c r="G205" s="21">
        <v>208.98</v>
      </c>
      <c r="H205" s="21">
        <f t="shared" ref="H205" si="40">(1.67+1.81)/(1.414*(1.81+(1-C205)*0.72+D205*C205))</f>
        <v>0.95867219273233917</v>
      </c>
      <c r="I205" s="5">
        <f t="shared" si="38"/>
        <v>0.41834254143646404</v>
      </c>
      <c r="J205" s="6">
        <v>465</v>
      </c>
      <c r="K205" s="7">
        <v>2.56</v>
      </c>
      <c r="L205" s="34"/>
    </row>
  </sheetData>
  <mergeCells count="9">
    <mergeCell ref="L2:L21"/>
    <mergeCell ref="L81:L97"/>
    <mergeCell ref="L47:L80"/>
    <mergeCell ref="L32:L45"/>
    <mergeCell ref="L169:L205"/>
    <mergeCell ref="L22:L31"/>
    <mergeCell ref="L130:L150"/>
    <mergeCell ref="L151:L168"/>
    <mergeCell ref="L98:L1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 w</dc:creator>
  <cp:lastModifiedBy>lk w</cp:lastModifiedBy>
  <dcterms:created xsi:type="dcterms:W3CDTF">2015-06-05T18:19:34Z</dcterms:created>
  <dcterms:modified xsi:type="dcterms:W3CDTF">2026-04-10T14:26:51Z</dcterms:modified>
</cp:coreProperties>
</file>